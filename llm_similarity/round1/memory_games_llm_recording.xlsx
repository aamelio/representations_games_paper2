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Log" sheetId="2" state="visible" r:id="rId4"/>
    <sheet name="P1_Similarity" sheetId="3" state="visible" r:id="rId5"/>
    <sheet name="P2_Structural" sheetId="4" state="visible" r:id="rId6"/>
    <sheet name="P3_Retrieval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<sst xmlns="http://schemas.openxmlformats.org/spreadsheetml/2006/main" count="464" uniqueCount="96">
  <si>
    <t xml:space="preserve">Memory and Games — LLM Elicitation Recording Sheet</t>
  </si>
  <si>
    <t xml:space="preserve">This workbook collects similarity, structural-decomposition, and retrieval-likelihood ratings from nine LLM conversations (three models × three triplets) on the Bonus and Aid stories vs. the DG-KW, DG-LT, UG, TG games.</t>
  </si>
  <si>
    <t xml:space="preserve">Workflow</t>
  </si>
  <si>
    <t xml:space="preserve">  1. Run each of the nine conversations using the prompts in 'memory_games_llm_prompts.docx'. Save each transcript as a separate text file using the naming convention recommended in the Log sheet.</t>
  </si>
  <si>
    <t xml:space="preserve">  2. After each conversation, decode the A/B/C/D and Story 1/Story 2 labels back to actual games and stories using the mapping at the end of that triplet's section in the prompts doc.</t>
  </si>
  <si>
    <t xml:space="preserve">  3. Enter the model's ratings into the appropriate sheet (yellow cells = inputs). The Summary sheet recomputes automatically.</t>
  </si>
  <si>
    <t xml:space="preserve">Sheets</t>
  </si>
  <si>
    <t xml:space="preserve">  Log              One row per conversation. Records date, transcript filename, and any notes.</t>
  </si>
  <si>
    <t xml:space="preserve">  P1_Similarity    72 rows. The 0–100 structural similarity rating for each (Game × Story) pair, in each conversation.</t>
  </si>
  <si>
    <t xml:space="preserve">  P2_Structural    9 rows. Key qualitative findings from the structural-decomposition prompt: largest-gap dimensions, whether one game is distinguished by a single dimension, and whether this differs across the two stories.</t>
  </si>
  <si>
    <t xml:space="preserve">  P3_Retrieval     36 rows. The 100-point split between Bonus and Aid for each game in each conversation.</t>
  </si>
  <si>
    <t xml:space="preserve">  Summary          Computed cross-run summaries: mean similarity by Game × Story, by Game × Model, and mean retrieval shares by Game.</t>
  </si>
  <si>
    <t xml:space="preserve">Conventions</t>
  </si>
  <si>
    <t xml:space="preserve">  Yellow cells are inputs. White cells with formulas are computed — do not overwrite.</t>
  </si>
  <si>
    <t xml:space="preserve">  Use 'NA' (text) if a model failed to answer or refused a particular cell.</t>
  </si>
  <si>
    <t xml:space="preserve">  Use the same model and triplet labels everywhere — the formulas match exact text.</t>
  </si>
  <si>
    <t xml:space="preserve">Model</t>
  </si>
  <si>
    <t xml:space="preserve">Triplet</t>
  </si>
  <si>
    <t xml:space="preserve">Date (YYYY-MM-DD)</t>
  </si>
  <si>
    <t xml:space="preserve">Transcript filename</t>
  </si>
  <si>
    <t xml:space="preserve">Notes</t>
  </si>
  <si>
    <t xml:space="preserve">Claude Opus 4.7</t>
  </si>
  <si>
    <t xml:space="preserve">2026-05-20</t>
  </si>
  <si>
    <t xml:space="preserve">claude_opus_4.7_triplet1.txt</t>
  </si>
  <si>
    <t xml:space="preserve">claude_opus_4.7_triplet2.txt</t>
  </si>
  <si>
    <t xml:space="preserve">claude_opus_4.7_triplet3.txt</t>
  </si>
  <si>
    <t xml:space="preserve">ChatGPT 5.5 Thinking</t>
  </si>
  <si>
    <t xml:space="preserve">chatgpt_5.5_thinking_triplet1.txt</t>
  </si>
  <si>
    <t xml:space="preserve">chatgpt_5.5_thinking_triplet2.txt</t>
  </si>
  <si>
    <t xml:space="preserve">chatgpt_5.5_thinking_triplet3.txt</t>
  </si>
  <si>
    <t xml:space="preserve">Gemini 3 Pro</t>
  </si>
  <si>
    <t xml:space="preserve">gemini_3_pro_triplet1.txt</t>
  </si>
  <si>
    <t xml:space="preserve">Prompt 2 (structural decomposition) answered by Gemini 3.5 Flash, not 3 Pro, due to capacity at time of run.</t>
  </si>
  <si>
    <t xml:space="preserve">gemini_3_pro_triplet2.txt</t>
  </si>
  <si>
    <t xml:space="preserve">gemini_3_pro_triplet3.txt</t>
  </si>
  <si>
    <t xml:space="preserve">Game</t>
  </si>
  <si>
    <t xml:space="preserve">Story</t>
  </si>
  <si>
    <t xml:space="preserve">Similarity (0–100)</t>
  </si>
  <si>
    <t xml:space="preserve">Brief justification (optional)</t>
  </si>
  <si>
    <t xml:space="preserve">DG-KW</t>
  </si>
  <si>
    <t xml:space="preserve">Bonus</t>
  </si>
  <si>
    <t xml:space="preserve">Aid</t>
  </si>
  <si>
    <t xml:space="preserve">DG-LT</t>
  </si>
  <si>
    <t xml:space="preserve">UG</t>
  </si>
  <si>
    <t xml:space="preserve">TG</t>
  </si>
  <si>
    <t xml:space="preserve">Largest-gap dimensions (free text)</t>
  </si>
  <si>
    <t xml:space="preserve">Single dimension distinguishes one game? (Y / N)</t>
  </si>
  <si>
    <t xml:space="preserve">If Y, which game?</t>
  </si>
  <si>
    <t xml:space="preserve">If Y, which dimension?</t>
  </si>
  <si>
    <t xml:space="preserve">Same answer for both stories? (Y / N / —)</t>
  </si>
  <si>
    <t xml:space="preserve">Notes (free text)</t>
  </si>
  <si>
    <t xml:space="preserve">P2's role (dim 3) and strategic structure (dim 5), which move together; pie expandability (dim 1) compounds the gap for TG.</t>
  </si>
  <si>
    <t xml:space="preserve">Y</t>
  </si>
  <si>
    <t xml:space="preserve">P1's initial endowment (partial vs. full)</t>
  </si>
  <si>
    <t xml:space="preserve">Claude isolates DG-LT (not TG) as the cleanest single-dimension-distinguished game. TG's gap is over-determined (dims 1, 3, 5); UG's by dims 3 and 5. Magnitude differs across stories (B-Bonus=38 &gt; B-Aid=18) but the distinguishing dimension is the same.</t>
  </si>
  <si>
    <t xml:space="preserve">P2's role (dim 3) and strategic structure (dim 5) move together; pie expandability (dim 1) for TG.</t>
  </si>
  <si>
    <t xml:space="preserve">Same logic as T1: DG-LT is the cleanest single-dim-distinguished game; TG's gap is over-determined. Both stories take identical values on dims 1, 2, 3, 5.</t>
  </si>
  <si>
    <t xml:space="preserve">P2's role (dim 3) and strategic structure (dim 5) jointly; pie expandability (dim 1) for TG.</t>
  </si>
  <si>
    <t xml:space="preserve">TG and DG-LT (two cases)</t>
  </si>
  <si>
    <t xml:space="preserve">Pie structure for TG; P1's initial endowment for DG-LT</t>
  </si>
  <si>
    <t xml:space="preserve">Two single-dimension distinctions: pie structure isolates TG; P1's initial endowment isolates DG-LT. Answer same for both stories. This is the only one of Claude's three runs that explicitly identifies TG as a single-dim case.</t>
  </si>
  <si>
    <t xml:space="preserve">P2's role and strategic structure (jointly); pie structure compounds for TG.</t>
  </si>
  <si>
    <t xml:space="preserve">Pie structure</t>
  </si>
  <si>
    <t xml:space="preserve">Model also notes P2's role distinguishes TG (P2 reciprocates rather than passive). Stories differ on Source-of-endowment (effort vs. selection) but not on the dim that isolates TG.</t>
  </si>
  <si>
    <t xml:space="preserve">P2's role and strategic structure (jointly); pie structure for TG.</t>
  </si>
  <si>
    <t xml:space="preserve">Model says TG closest match is via dim 2 (P1 endowment) + dim 3 (passive P2). Source-of-endowment differs across stories but doesn't change core structural ranking.</t>
  </si>
  <si>
    <t xml:space="preserve">P2's role and strategic structure; pie structure especially for TG.</t>
  </si>
  <si>
    <t xml:space="preserve">Same answer for both stories; Story 2's joint-production background makes TG marginally less remote but doesn't change which dim isolates which game.</t>
  </si>
  <si>
    <t xml:space="preserve">P2's role and strategic structure; pie structure compounds for TG.</t>
  </si>
  <si>
    <t xml:space="preserve">Gemini 3.5 Flash answered Prompt 2 due to 3 Pro capacity limit at the time. Two single-dim distinctions reported. Same answer for both stories.</t>
  </si>
  <si>
    <t xml:space="preserve">Strategic structure and P2's role; P1's initial endowment for secondary gap (DG-LT vs DG-KW).</t>
  </si>
  <si>
    <t xml:space="preserve">Gemini 3.5 Flash answered Prompt 2 due to 3 Pro capacity limit at the time. Two single-dim distinctions reported. Same for both stories.</t>
  </si>
  <si>
    <t xml:space="preserve">P2's role and strategic structure jointly.</t>
  </si>
  <si>
    <t xml:space="preserve">DG-LT (and TG noted parenthetically)</t>
  </si>
  <si>
    <t xml:space="preserve">P1's initial endowment for DG-LT; pie structure for TG</t>
  </si>
  <si>
    <t xml:space="preserve">Primary answer is DG-LT distinguished by P1's endowment, with TG distinguished by pie structure mentioned as a secondary note. Same for both stories.</t>
  </si>
  <si>
    <t xml:space="preserve">Bonus share (0–100)</t>
  </si>
  <si>
    <t xml:space="preserve">Aid share (0–100)</t>
  </si>
  <si>
    <t xml:space="preserve">Sum check</t>
  </si>
  <si>
    <t xml:space="preserve">Summary tables — recomputed automatically from inputs</t>
  </si>
  <si>
    <t xml:space="preserve">1. Mean similarity rating by Game × Story (all 9 runs pooled)</t>
  </si>
  <si>
    <t xml:space="preserve">Row mean</t>
  </si>
  <si>
    <t xml:space="preserve">(N per cell = 9)</t>
  </si>
  <si>
    <t xml:space="preserve">2. Mean similarity by Game × Model (averaged across both stories and all 3 triplets)</t>
  </si>
  <si>
    <t xml:space="preserve">(N per cell = 6: 2 stories × 3 triplets)</t>
  </si>
  <si>
    <t xml:space="preserve">3. Mean retrieval share by Game (pooled across all 9 runs)</t>
  </si>
  <si>
    <t xml:space="preserve">Bonus share</t>
  </si>
  <si>
    <t xml:space="preserve">Aid share</t>
  </si>
  <si>
    <t xml:space="preserve">Total</t>
  </si>
  <si>
    <t xml:space="preserve">(N per cell = 9 splits; total should be ~100)</t>
  </si>
  <si>
    <t xml:space="preserve">4. Mean similarity by Game × Triplet (sanity check for position effects)</t>
  </si>
  <si>
    <t xml:space="preserve">Triplet 1</t>
  </si>
  <si>
    <t xml:space="preserve">Triplet 2</t>
  </si>
  <si>
    <t xml:space="preserve">Triplet 3</t>
  </si>
  <si>
    <t xml:space="preserve">Range across triplets</t>
  </si>
  <si>
    <t xml:space="preserve">(Large ranges suggest position or labeling effects)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</si>
</sst>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0"/>
      <charset val="1"/>
    </font>
    <font>
      <sz val="11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4"/>
      <name val="Calibri"/>
      <family val="0"/>
      <charset val="1"/>
    </font>
    <font>
      <b val="true"/>
      <sz val="12"/>
      <name val="Calibri"/>
      <family val="0"/>
      <charset val="1"/>
    </font>
    <font>
      <i val="true"/>
      <sz val="10"/>
      <color rgb="FF666666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FF8E0"/>
        <bgColor rgb="FFF2F2F2"/>
      </patternFill>
    </fill>
    <fill>
      <patternFill patternType="solid">
        <fgColor rgb="FFF2F2F2"/>
        <bgColor rgb="FFFFF8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0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27.75" hidden="false" customHeight="true" outlineLevel="0" collapsed="false">
      <c r="A3" s="3" t="s">
        <v>1</v>
      </c>
    </row>
    <row r="4" customFormat="false" ht="15" hidden="false" customHeight="true" outlineLevel="0" collapsed="false">
      <c r="A4" s="3"/>
    </row>
    <row r="5" customFormat="false" ht="15" hidden="false" customHeight="true" outlineLevel="0" collapsed="false">
      <c r="A5" s="4" t="s">
        <v>2</v>
      </c>
    </row>
    <row r="6" customFormat="false" ht="27.75" hidden="false" customHeight="true" outlineLevel="0" collapsed="false">
      <c r="A6" s="3" t="s">
        <v>3</v>
      </c>
    </row>
    <row r="7" customFormat="false" ht="27.75" hidden="false" customHeight="true" outlineLevel="0" collapsed="false">
      <c r="A7" s="3" t="s">
        <v>4</v>
      </c>
    </row>
    <row r="8" customFormat="false" ht="15" hidden="false" customHeight="true" outlineLevel="0" collapsed="false">
      <c r="A8" s="3" t="s">
        <v>5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27.7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 t="s">
        <v>10</v>
      </c>
    </row>
    <row r="15" customFormat="false" ht="27.75" hidden="false" customHeight="true" outlineLevel="0" collapsed="false">
      <c r="A15" s="3" t="s">
        <v>11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 t="s">
        <v>14</v>
      </c>
    </row>
    <row r="20" customFormat="false" ht="15" hidden="false" customHeight="true" outlineLevel="0" collapsed="false">
      <c r="A20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20"/>
    <col collapsed="false" customWidth="true" hidden="false" outlineLevel="0" max="4" min="4" style="1" width="40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</row>
    <row r="2" customFormat="false" ht="15" hidden="false" customHeight="true" outlineLevel="0" collapsed="false">
      <c r="A2" s="6" t="s">
        <v>21</v>
      </c>
      <c r="B2" s="6" t="n">
        <v>1</v>
      </c>
      <c r="C2" s="7" t="s">
        <v>22</v>
      </c>
      <c r="D2" s="7" t="s">
        <v>23</v>
      </c>
      <c r="E2" s="7"/>
    </row>
    <row r="3" customFormat="false" ht="15" hidden="false" customHeight="true" outlineLevel="0" collapsed="false">
      <c r="A3" s="6" t="s">
        <v>21</v>
      </c>
      <c r="B3" s="6" t="n">
        <v>2</v>
      </c>
      <c r="C3" s="7" t="s">
        <v>22</v>
      </c>
      <c r="D3" s="7" t="s">
        <v>24</v>
      </c>
      <c r="E3" s="7"/>
    </row>
    <row r="4" customFormat="false" ht="15" hidden="false" customHeight="true" outlineLevel="0" collapsed="false">
      <c r="A4" s="6" t="s">
        <v>21</v>
      </c>
      <c r="B4" s="6" t="n">
        <v>3</v>
      </c>
      <c r="C4" s="7" t="s">
        <v>22</v>
      </c>
      <c r="D4" s="7" t="s">
        <v>25</v>
      </c>
      <c r="E4" s="7"/>
    </row>
    <row r="5" customFormat="false" ht="15" hidden="false" customHeight="true" outlineLevel="0" collapsed="false">
      <c r="A5" s="6" t="s">
        <v>26</v>
      </c>
      <c r="B5" s="6" t="n">
        <v>1</v>
      </c>
      <c r="C5" s="7" t="s">
        <v>22</v>
      </c>
      <c r="D5" s="7" t="s">
        <v>27</v>
      </c>
      <c r="E5" s="7"/>
    </row>
    <row r="6" customFormat="false" ht="15" hidden="false" customHeight="true" outlineLevel="0" collapsed="false">
      <c r="A6" s="6" t="s">
        <v>26</v>
      </c>
      <c r="B6" s="6" t="n">
        <v>2</v>
      </c>
      <c r="C6" s="7" t="s">
        <v>22</v>
      </c>
      <c r="D6" s="7" t="s">
        <v>28</v>
      </c>
      <c r="E6" s="7"/>
    </row>
    <row r="7" customFormat="false" ht="15" hidden="false" customHeight="true" outlineLevel="0" collapsed="false">
      <c r="A7" s="6" t="s">
        <v>26</v>
      </c>
      <c r="B7" s="6" t="n">
        <v>3</v>
      </c>
      <c r="C7" s="7" t="s">
        <v>22</v>
      </c>
      <c r="D7" s="7" t="s">
        <v>29</v>
      </c>
      <c r="E7" s="7"/>
    </row>
    <row r="8" customFormat="false" ht="15" hidden="false" customHeight="true" outlineLevel="0" collapsed="false">
      <c r="A8" s="6" t="s">
        <v>30</v>
      </c>
      <c r="B8" s="6" t="n">
        <v>1</v>
      </c>
      <c r="C8" s="7" t="s">
        <v>22</v>
      </c>
      <c r="D8" s="7" t="s">
        <v>31</v>
      </c>
      <c r="E8" s="7" t="s">
        <v>32</v>
      </c>
    </row>
    <row r="9" customFormat="false" ht="15" hidden="false" customHeight="true" outlineLevel="0" collapsed="false">
      <c r="A9" s="6" t="s">
        <v>30</v>
      </c>
      <c r="B9" s="6" t="n">
        <v>2</v>
      </c>
      <c r="C9" s="7" t="s">
        <v>22</v>
      </c>
      <c r="D9" s="7" t="s">
        <v>33</v>
      </c>
      <c r="E9" s="7" t="s">
        <v>32</v>
      </c>
    </row>
    <row r="10" customFormat="false" ht="15" hidden="false" customHeight="true" outlineLevel="0" collapsed="false">
      <c r="A10" s="6" t="s">
        <v>30</v>
      </c>
      <c r="B10" s="6" t="n">
        <v>3</v>
      </c>
      <c r="C10" s="7" t="s">
        <v>22</v>
      </c>
      <c r="D10" s="7" t="s">
        <v>34</v>
      </c>
      <c r="E1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4" min="3" style="1" width="12"/>
    <col collapsed="false" customWidth="true" hidden="false" outlineLevel="0" max="5" min="5" style="1" width="18"/>
    <col collapsed="false" customWidth="true" hidden="false" outlineLevel="0" max="6" min="6" style="1" width="70"/>
  </cols>
  <sheetData>
    <row r="1" customFormat="false" ht="15" hidden="false" customHeight="true" outlineLevel="0" collapsed="false">
      <c r="A1" s="5" t="s">
        <v>16</v>
      </c>
      <c r="B1" s="5" t="s">
        <v>17</v>
      </c>
      <c r="C1" s="5" t="s">
        <v>35</v>
      </c>
      <c r="D1" s="5" t="s">
        <v>36</v>
      </c>
      <c r="E1" s="5" t="s">
        <v>37</v>
      </c>
      <c r="F1" s="5" t="s">
        <v>38</v>
      </c>
    </row>
    <row r="2" customFormat="false" ht="15" hidden="false" customHeight="true" outlineLevel="0" collapsed="false">
      <c r="A2" s="6" t="s">
        <v>21</v>
      </c>
      <c r="B2" s="6" t="n">
        <v>1</v>
      </c>
      <c r="C2" s="6" t="s">
        <v>39</v>
      </c>
      <c r="D2" s="6" t="s">
        <v>40</v>
      </c>
      <c r="E2" s="7" t="n">
        <v>88</v>
      </c>
      <c r="F2" s="7"/>
    </row>
    <row r="3" customFormat="false" ht="15" hidden="false" customHeight="true" outlineLevel="0" collapsed="false">
      <c r="A3" s="6" t="s">
        <v>21</v>
      </c>
      <c r="B3" s="6" t="n">
        <v>1</v>
      </c>
      <c r="C3" s="6" t="s">
        <v>39</v>
      </c>
      <c r="D3" s="6" t="s">
        <v>41</v>
      </c>
      <c r="E3" s="7" t="n">
        <v>92</v>
      </c>
      <c r="F3" s="7"/>
    </row>
    <row r="4" customFormat="false" ht="15" hidden="false" customHeight="true" outlineLevel="0" collapsed="false">
      <c r="A4" s="6" t="s">
        <v>21</v>
      </c>
      <c r="B4" s="6" t="n">
        <v>1</v>
      </c>
      <c r="C4" s="6" t="s">
        <v>42</v>
      </c>
      <c r="D4" s="6" t="s">
        <v>40</v>
      </c>
      <c r="E4" s="7" t="n">
        <v>38</v>
      </c>
      <c r="F4" s="7"/>
    </row>
    <row r="5" customFormat="false" ht="15" hidden="false" customHeight="true" outlineLevel="0" collapsed="false">
      <c r="A5" s="6" t="s">
        <v>21</v>
      </c>
      <c r="B5" s="6" t="n">
        <v>1</v>
      </c>
      <c r="C5" s="6" t="s">
        <v>42</v>
      </c>
      <c r="D5" s="6" t="s">
        <v>41</v>
      </c>
      <c r="E5" s="7" t="n">
        <v>18</v>
      </c>
      <c r="F5" s="7"/>
    </row>
    <row r="6" customFormat="false" ht="15" hidden="false" customHeight="true" outlineLevel="0" collapsed="false">
      <c r="A6" s="6" t="s">
        <v>21</v>
      </c>
      <c r="B6" s="6" t="n">
        <v>1</v>
      </c>
      <c r="C6" s="6" t="s">
        <v>43</v>
      </c>
      <c r="D6" s="6" t="s">
        <v>40</v>
      </c>
      <c r="E6" s="7" t="n">
        <v>12</v>
      </c>
      <c r="F6" s="7"/>
    </row>
    <row r="7" customFormat="false" ht="15" hidden="false" customHeight="true" outlineLevel="0" collapsed="false">
      <c r="A7" s="6" t="s">
        <v>21</v>
      </c>
      <c r="B7" s="6" t="n">
        <v>1</v>
      </c>
      <c r="C7" s="6" t="s">
        <v>43</v>
      </c>
      <c r="D7" s="6" t="s">
        <v>41</v>
      </c>
      <c r="E7" s="7" t="n">
        <v>8</v>
      </c>
      <c r="F7" s="7"/>
    </row>
    <row r="8" customFormat="false" ht="15" hidden="false" customHeight="true" outlineLevel="0" collapsed="false">
      <c r="A8" s="6" t="s">
        <v>21</v>
      </c>
      <c r="B8" s="6" t="n">
        <v>1</v>
      </c>
      <c r="C8" s="6" t="s">
        <v>44</v>
      </c>
      <c r="D8" s="6" t="s">
        <v>40</v>
      </c>
      <c r="E8" s="7" t="n">
        <v>8</v>
      </c>
      <c r="F8" s="7"/>
    </row>
    <row r="9" customFormat="false" ht="15" hidden="false" customHeight="true" outlineLevel="0" collapsed="false">
      <c r="A9" s="6" t="s">
        <v>21</v>
      </c>
      <c r="B9" s="6" t="n">
        <v>1</v>
      </c>
      <c r="C9" s="6" t="s">
        <v>44</v>
      </c>
      <c r="D9" s="6" t="s">
        <v>41</v>
      </c>
      <c r="E9" s="7" t="n">
        <v>6</v>
      </c>
      <c r="F9" s="7"/>
    </row>
    <row r="10" customFormat="false" ht="15" hidden="false" customHeight="true" outlineLevel="0" collapsed="false">
      <c r="A10" s="6" t="s">
        <v>21</v>
      </c>
      <c r="B10" s="6" t="n">
        <v>2</v>
      </c>
      <c r="C10" s="6" t="s">
        <v>39</v>
      </c>
      <c r="D10" s="6" t="s">
        <v>40</v>
      </c>
      <c r="E10" s="7" t="n">
        <v>86</v>
      </c>
      <c r="F10" s="7"/>
    </row>
    <row r="11" customFormat="false" ht="15" hidden="false" customHeight="true" outlineLevel="0" collapsed="false">
      <c r="A11" s="6" t="s">
        <v>21</v>
      </c>
      <c r="B11" s="6" t="n">
        <v>2</v>
      </c>
      <c r="C11" s="6" t="s">
        <v>39</v>
      </c>
      <c r="D11" s="6" t="s">
        <v>41</v>
      </c>
      <c r="E11" s="7" t="n">
        <v>92</v>
      </c>
      <c r="F11" s="7"/>
    </row>
    <row r="12" customFormat="false" ht="15" hidden="false" customHeight="true" outlineLevel="0" collapsed="false">
      <c r="A12" s="6" t="s">
        <v>21</v>
      </c>
      <c r="B12" s="6" t="n">
        <v>2</v>
      </c>
      <c r="C12" s="6" t="s">
        <v>42</v>
      </c>
      <c r="D12" s="6" t="s">
        <v>40</v>
      </c>
      <c r="E12" s="7" t="n">
        <v>28</v>
      </c>
      <c r="F12" s="7"/>
    </row>
    <row r="13" customFormat="false" ht="15" hidden="false" customHeight="true" outlineLevel="0" collapsed="false">
      <c r="A13" s="6" t="s">
        <v>21</v>
      </c>
      <c r="B13" s="6" t="n">
        <v>2</v>
      </c>
      <c r="C13" s="6" t="s">
        <v>42</v>
      </c>
      <c r="D13" s="6" t="s">
        <v>41</v>
      </c>
      <c r="E13" s="7" t="n">
        <v>30</v>
      </c>
      <c r="F13" s="7"/>
    </row>
    <row r="14" customFormat="false" ht="15" hidden="false" customHeight="true" outlineLevel="0" collapsed="false">
      <c r="A14" s="6" t="s">
        <v>21</v>
      </c>
      <c r="B14" s="6" t="n">
        <v>2</v>
      </c>
      <c r="C14" s="6" t="s">
        <v>43</v>
      </c>
      <c r="D14" s="6" t="s">
        <v>40</v>
      </c>
      <c r="E14" s="7" t="n">
        <v>8</v>
      </c>
      <c r="F14" s="7"/>
    </row>
    <row r="15" customFormat="false" ht="15" hidden="false" customHeight="true" outlineLevel="0" collapsed="false">
      <c r="A15" s="6" t="s">
        <v>21</v>
      </c>
      <c r="B15" s="6" t="n">
        <v>2</v>
      </c>
      <c r="C15" s="6" t="s">
        <v>43</v>
      </c>
      <c r="D15" s="6" t="s">
        <v>41</v>
      </c>
      <c r="E15" s="7" t="n">
        <v>8</v>
      </c>
      <c r="F15" s="7"/>
    </row>
    <row r="16" customFormat="false" ht="15" hidden="false" customHeight="true" outlineLevel="0" collapsed="false">
      <c r="A16" s="6" t="s">
        <v>21</v>
      </c>
      <c r="B16" s="6" t="n">
        <v>2</v>
      </c>
      <c r="C16" s="6" t="s">
        <v>44</v>
      </c>
      <c r="D16" s="6" t="s">
        <v>40</v>
      </c>
      <c r="E16" s="7" t="n">
        <v>10</v>
      </c>
      <c r="F16" s="7"/>
    </row>
    <row r="17" customFormat="false" ht="15" hidden="false" customHeight="true" outlineLevel="0" collapsed="false">
      <c r="A17" s="6" t="s">
        <v>21</v>
      </c>
      <c r="B17" s="6" t="n">
        <v>2</v>
      </c>
      <c r="C17" s="6" t="s">
        <v>44</v>
      </c>
      <c r="D17" s="6" t="s">
        <v>41</v>
      </c>
      <c r="E17" s="7" t="n">
        <v>10</v>
      </c>
      <c r="F17" s="7"/>
    </row>
    <row r="18" customFormat="false" ht="15" hidden="false" customHeight="true" outlineLevel="0" collapsed="false">
      <c r="A18" s="6" t="s">
        <v>21</v>
      </c>
      <c r="B18" s="6" t="n">
        <v>3</v>
      </c>
      <c r="C18" s="6" t="s">
        <v>39</v>
      </c>
      <c r="D18" s="6" t="s">
        <v>40</v>
      </c>
      <c r="E18" s="7" t="n">
        <v>92</v>
      </c>
      <c r="F18" s="7"/>
    </row>
    <row r="19" customFormat="false" ht="15" hidden="false" customHeight="true" outlineLevel="0" collapsed="false">
      <c r="A19" s="6" t="s">
        <v>21</v>
      </c>
      <c r="B19" s="6" t="n">
        <v>3</v>
      </c>
      <c r="C19" s="6" t="s">
        <v>39</v>
      </c>
      <c r="D19" s="6" t="s">
        <v>41</v>
      </c>
      <c r="E19" s="7" t="n">
        <v>90</v>
      </c>
      <c r="F19" s="7"/>
    </row>
    <row r="20" customFormat="false" ht="15" hidden="false" customHeight="true" outlineLevel="0" collapsed="false">
      <c r="A20" s="6" t="s">
        <v>21</v>
      </c>
      <c r="B20" s="6" t="n">
        <v>3</v>
      </c>
      <c r="C20" s="6" t="s">
        <v>42</v>
      </c>
      <c r="D20" s="6" t="s">
        <v>40</v>
      </c>
      <c r="E20" s="7" t="n">
        <v>40</v>
      </c>
      <c r="F20" s="7"/>
    </row>
    <row r="21" customFormat="false" ht="15" hidden="false" customHeight="true" outlineLevel="0" collapsed="false">
      <c r="A21" s="6" t="s">
        <v>21</v>
      </c>
      <c r="B21" s="6" t="n">
        <v>3</v>
      </c>
      <c r="C21" s="6" t="s">
        <v>42</v>
      </c>
      <c r="D21" s="6" t="s">
        <v>41</v>
      </c>
      <c r="E21" s="7" t="n">
        <v>45</v>
      </c>
      <c r="F21" s="7"/>
    </row>
    <row r="22" customFormat="false" ht="15" hidden="false" customHeight="true" outlineLevel="0" collapsed="false">
      <c r="A22" s="6" t="s">
        <v>21</v>
      </c>
      <c r="B22" s="6" t="n">
        <v>3</v>
      </c>
      <c r="C22" s="6" t="s">
        <v>43</v>
      </c>
      <c r="D22" s="6" t="s">
        <v>40</v>
      </c>
      <c r="E22" s="7" t="n">
        <v>18</v>
      </c>
      <c r="F22" s="7"/>
    </row>
    <row r="23" customFormat="false" ht="15" hidden="false" customHeight="true" outlineLevel="0" collapsed="false">
      <c r="A23" s="6" t="s">
        <v>21</v>
      </c>
      <c r="B23" s="6" t="n">
        <v>3</v>
      </c>
      <c r="C23" s="6" t="s">
        <v>43</v>
      </c>
      <c r="D23" s="6" t="s">
        <v>41</v>
      </c>
      <c r="E23" s="7" t="n">
        <v>18</v>
      </c>
      <c r="F23" s="7"/>
    </row>
    <row r="24" customFormat="false" ht="15" hidden="false" customHeight="true" outlineLevel="0" collapsed="false">
      <c r="A24" s="6" t="s">
        <v>21</v>
      </c>
      <c r="B24" s="6" t="n">
        <v>3</v>
      </c>
      <c r="C24" s="6" t="s">
        <v>44</v>
      </c>
      <c r="D24" s="6" t="s">
        <v>40</v>
      </c>
      <c r="E24" s="7" t="n">
        <v>10</v>
      </c>
      <c r="F24" s="7"/>
    </row>
    <row r="25" customFormat="false" ht="15" hidden="false" customHeight="true" outlineLevel="0" collapsed="false">
      <c r="A25" s="6" t="s">
        <v>21</v>
      </c>
      <c r="B25" s="6" t="n">
        <v>3</v>
      </c>
      <c r="C25" s="6" t="s">
        <v>44</v>
      </c>
      <c r="D25" s="6" t="s">
        <v>41</v>
      </c>
      <c r="E25" s="7" t="n">
        <v>10</v>
      </c>
      <c r="F25" s="7"/>
    </row>
    <row r="26" customFormat="false" ht="15" hidden="false" customHeight="true" outlineLevel="0" collapsed="false">
      <c r="A26" s="6" t="s">
        <v>26</v>
      </c>
      <c r="B26" s="6" t="n">
        <v>1</v>
      </c>
      <c r="C26" s="6" t="s">
        <v>39</v>
      </c>
      <c r="D26" s="6" t="s">
        <v>40</v>
      </c>
      <c r="E26" s="7" t="n">
        <v>96</v>
      </c>
      <c r="F26" s="7"/>
    </row>
    <row r="27" customFormat="false" ht="15" hidden="false" customHeight="true" outlineLevel="0" collapsed="false">
      <c r="A27" s="6" t="s">
        <v>26</v>
      </c>
      <c r="B27" s="6" t="n">
        <v>1</v>
      </c>
      <c r="C27" s="6" t="s">
        <v>39</v>
      </c>
      <c r="D27" s="6" t="s">
        <v>41</v>
      </c>
      <c r="E27" s="7" t="n">
        <v>94</v>
      </c>
      <c r="F27" s="7"/>
    </row>
    <row r="28" customFormat="false" ht="15" hidden="false" customHeight="true" outlineLevel="0" collapsed="false">
      <c r="A28" s="6" t="s">
        <v>26</v>
      </c>
      <c r="B28" s="6" t="n">
        <v>1</v>
      </c>
      <c r="C28" s="6" t="s">
        <v>42</v>
      </c>
      <c r="D28" s="6" t="s">
        <v>40</v>
      </c>
      <c r="E28" s="7" t="n">
        <v>62</v>
      </c>
      <c r="F28" s="7"/>
    </row>
    <row r="29" customFormat="false" ht="15" hidden="false" customHeight="true" outlineLevel="0" collapsed="false">
      <c r="A29" s="6" t="s">
        <v>26</v>
      </c>
      <c r="B29" s="6" t="n">
        <v>1</v>
      </c>
      <c r="C29" s="6" t="s">
        <v>42</v>
      </c>
      <c r="D29" s="6" t="s">
        <v>41</v>
      </c>
      <c r="E29" s="7" t="n">
        <v>58</v>
      </c>
      <c r="F29" s="7"/>
    </row>
    <row r="30" customFormat="false" ht="15" hidden="false" customHeight="true" outlineLevel="0" collapsed="false">
      <c r="A30" s="6" t="s">
        <v>26</v>
      </c>
      <c r="B30" s="6" t="n">
        <v>1</v>
      </c>
      <c r="C30" s="6" t="s">
        <v>43</v>
      </c>
      <c r="D30" s="6" t="s">
        <v>40</v>
      </c>
      <c r="E30" s="7" t="n">
        <v>54</v>
      </c>
      <c r="F30" s="7"/>
    </row>
    <row r="31" customFormat="false" ht="15" hidden="false" customHeight="true" outlineLevel="0" collapsed="false">
      <c r="A31" s="6" t="s">
        <v>26</v>
      </c>
      <c r="B31" s="6" t="n">
        <v>1</v>
      </c>
      <c r="C31" s="6" t="s">
        <v>43</v>
      </c>
      <c r="D31" s="6" t="s">
        <v>41</v>
      </c>
      <c r="E31" s="7" t="n">
        <v>49</v>
      </c>
      <c r="F31" s="7"/>
    </row>
    <row r="32" customFormat="false" ht="15" hidden="false" customHeight="true" outlineLevel="0" collapsed="false">
      <c r="A32" s="6" t="s">
        <v>26</v>
      </c>
      <c r="B32" s="6" t="n">
        <v>1</v>
      </c>
      <c r="C32" s="6" t="s">
        <v>44</v>
      </c>
      <c r="D32" s="6" t="s">
        <v>40</v>
      </c>
      <c r="E32" s="7" t="n">
        <v>28</v>
      </c>
      <c r="F32" s="7"/>
    </row>
    <row r="33" customFormat="false" ht="15" hidden="false" customHeight="true" outlineLevel="0" collapsed="false">
      <c r="A33" s="6" t="s">
        <v>26</v>
      </c>
      <c r="B33" s="6" t="n">
        <v>1</v>
      </c>
      <c r="C33" s="6" t="s">
        <v>44</v>
      </c>
      <c r="D33" s="6" t="s">
        <v>41</v>
      </c>
      <c r="E33" s="7" t="n">
        <v>24</v>
      </c>
      <c r="F33" s="7"/>
    </row>
    <row r="34" customFormat="false" ht="15" hidden="false" customHeight="true" outlineLevel="0" collapsed="false">
      <c r="A34" s="6" t="s">
        <v>26</v>
      </c>
      <c r="B34" s="6" t="n">
        <v>2</v>
      </c>
      <c r="C34" s="6" t="s">
        <v>39</v>
      </c>
      <c r="D34" s="6" t="s">
        <v>40</v>
      </c>
      <c r="E34" s="7" t="n">
        <v>98</v>
      </c>
      <c r="F34" s="7"/>
    </row>
    <row r="35" customFormat="false" ht="15" hidden="false" customHeight="true" outlineLevel="0" collapsed="false">
      <c r="A35" s="6" t="s">
        <v>26</v>
      </c>
      <c r="B35" s="6" t="n">
        <v>2</v>
      </c>
      <c r="C35" s="6" t="s">
        <v>39</v>
      </c>
      <c r="D35" s="6" t="s">
        <v>41</v>
      </c>
      <c r="E35" s="7" t="n">
        <v>95</v>
      </c>
      <c r="F35" s="7"/>
    </row>
    <row r="36" customFormat="false" ht="15" hidden="false" customHeight="true" outlineLevel="0" collapsed="false">
      <c r="A36" s="6" t="s">
        <v>26</v>
      </c>
      <c r="B36" s="6" t="n">
        <v>2</v>
      </c>
      <c r="C36" s="6" t="s">
        <v>42</v>
      </c>
      <c r="D36" s="6" t="s">
        <v>40</v>
      </c>
      <c r="E36" s="7" t="n">
        <v>50</v>
      </c>
      <c r="F36" s="7"/>
    </row>
    <row r="37" customFormat="false" ht="15" hidden="false" customHeight="true" outlineLevel="0" collapsed="false">
      <c r="A37" s="6" t="s">
        <v>26</v>
      </c>
      <c r="B37" s="6" t="n">
        <v>2</v>
      </c>
      <c r="C37" s="6" t="s">
        <v>42</v>
      </c>
      <c r="D37" s="6" t="s">
        <v>41</v>
      </c>
      <c r="E37" s="7" t="n">
        <v>55</v>
      </c>
      <c r="F37" s="7"/>
    </row>
    <row r="38" customFormat="false" ht="15" hidden="false" customHeight="true" outlineLevel="0" collapsed="false">
      <c r="A38" s="6" t="s">
        <v>26</v>
      </c>
      <c r="B38" s="6" t="n">
        <v>2</v>
      </c>
      <c r="C38" s="6" t="s">
        <v>43</v>
      </c>
      <c r="D38" s="6" t="s">
        <v>40</v>
      </c>
      <c r="E38" s="7" t="n">
        <v>40</v>
      </c>
      <c r="F38" s="7"/>
    </row>
    <row r="39" customFormat="false" ht="15" hidden="false" customHeight="true" outlineLevel="0" collapsed="false">
      <c r="A39" s="6" t="s">
        <v>26</v>
      </c>
      <c r="B39" s="6" t="n">
        <v>2</v>
      </c>
      <c r="C39" s="6" t="s">
        <v>43</v>
      </c>
      <c r="D39" s="6" t="s">
        <v>41</v>
      </c>
      <c r="E39" s="7" t="n">
        <v>45</v>
      </c>
      <c r="F39" s="7"/>
    </row>
    <row r="40" customFormat="false" ht="15" hidden="false" customHeight="true" outlineLevel="0" collapsed="false">
      <c r="A40" s="6" t="s">
        <v>26</v>
      </c>
      <c r="B40" s="6" t="n">
        <v>2</v>
      </c>
      <c r="C40" s="6" t="s">
        <v>44</v>
      </c>
      <c r="D40" s="6" t="s">
        <v>40</v>
      </c>
      <c r="E40" s="7" t="n">
        <v>25</v>
      </c>
      <c r="F40" s="7"/>
    </row>
    <row r="41" customFormat="false" ht="15" hidden="false" customHeight="true" outlineLevel="0" collapsed="false">
      <c r="A41" s="6" t="s">
        <v>26</v>
      </c>
      <c r="B41" s="6" t="n">
        <v>2</v>
      </c>
      <c r="C41" s="6" t="s">
        <v>44</v>
      </c>
      <c r="D41" s="6" t="s">
        <v>41</v>
      </c>
      <c r="E41" s="7" t="n">
        <v>30</v>
      </c>
      <c r="F41" s="7"/>
    </row>
    <row r="42" customFormat="false" ht="15" hidden="false" customHeight="true" outlineLevel="0" collapsed="false">
      <c r="A42" s="6" t="s">
        <v>26</v>
      </c>
      <c r="B42" s="6" t="n">
        <v>3</v>
      </c>
      <c r="C42" s="6" t="s">
        <v>39</v>
      </c>
      <c r="D42" s="6" t="s">
        <v>40</v>
      </c>
      <c r="E42" s="7" t="n">
        <v>96</v>
      </c>
      <c r="F42" s="7"/>
    </row>
    <row r="43" customFormat="false" ht="15" hidden="false" customHeight="true" outlineLevel="0" collapsed="false">
      <c r="A43" s="6" t="s">
        <v>26</v>
      </c>
      <c r="B43" s="6" t="n">
        <v>3</v>
      </c>
      <c r="C43" s="6" t="s">
        <v>39</v>
      </c>
      <c r="D43" s="6" t="s">
        <v>41</v>
      </c>
      <c r="E43" s="7" t="n">
        <v>94</v>
      </c>
      <c r="F43" s="7"/>
    </row>
    <row r="44" customFormat="false" ht="15" hidden="false" customHeight="true" outlineLevel="0" collapsed="false">
      <c r="A44" s="6" t="s">
        <v>26</v>
      </c>
      <c r="B44" s="6" t="n">
        <v>3</v>
      </c>
      <c r="C44" s="6" t="s">
        <v>42</v>
      </c>
      <c r="D44" s="6" t="s">
        <v>40</v>
      </c>
      <c r="E44" s="7" t="n">
        <v>58</v>
      </c>
      <c r="F44" s="7"/>
    </row>
    <row r="45" customFormat="false" ht="15" hidden="false" customHeight="true" outlineLevel="0" collapsed="false">
      <c r="A45" s="6" t="s">
        <v>26</v>
      </c>
      <c r="B45" s="6" t="n">
        <v>3</v>
      </c>
      <c r="C45" s="6" t="s">
        <v>42</v>
      </c>
      <c r="D45" s="6" t="s">
        <v>41</v>
      </c>
      <c r="E45" s="7" t="n">
        <v>60</v>
      </c>
      <c r="F45" s="7"/>
    </row>
    <row r="46" customFormat="false" ht="15" hidden="false" customHeight="true" outlineLevel="0" collapsed="false">
      <c r="A46" s="6" t="s">
        <v>26</v>
      </c>
      <c r="B46" s="6" t="n">
        <v>3</v>
      </c>
      <c r="C46" s="6" t="s">
        <v>43</v>
      </c>
      <c r="D46" s="6" t="s">
        <v>40</v>
      </c>
      <c r="E46" s="7" t="n">
        <v>49</v>
      </c>
      <c r="F46" s="7"/>
    </row>
    <row r="47" customFormat="false" ht="15" hidden="false" customHeight="true" outlineLevel="0" collapsed="false">
      <c r="A47" s="6" t="s">
        <v>26</v>
      </c>
      <c r="B47" s="6" t="n">
        <v>3</v>
      </c>
      <c r="C47" s="6" t="s">
        <v>43</v>
      </c>
      <c r="D47" s="6" t="s">
        <v>41</v>
      </c>
      <c r="E47" s="7" t="n">
        <v>50</v>
      </c>
      <c r="F47" s="7"/>
    </row>
    <row r="48" customFormat="false" ht="15" hidden="false" customHeight="true" outlineLevel="0" collapsed="false">
      <c r="A48" s="6" t="s">
        <v>26</v>
      </c>
      <c r="B48" s="6" t="n">
        <v>3</v>
      </c>
      <c r="C48" s="6" t="s">
        <v>44</v>
      </c>
      <c r="D48" s="6" t="s">
        <v>40</v>
      </c>
      <c r="E48" s="7" t="n">
        <v>24</v>
      </c>
      <c r="F48" s="7"/>
    </row>
    <row r="49" customFormat="false" ht="15" hidden="false" customHeight="true" outlineLevel="0" collapsed="false">
      <c r="A49" s="6" t="s">
        <v>26</v>
      </c>
      <c r="B49" s="6" t="n">
        <v>3</v>
      </c>
      <c r="C49" s="6" t="s">
        <v>44</v>
      </c>
      <c r="D49" s="6" t="s">
        <v>41</v>
      </c>
      <c r="E49" s="7" t="n">
        <v>15</v>
      </c>
      <c r="F49" s="7"/>
    </row>
    <row r="50" customFormat="false" ht="15" hidden="false" customHeight="true" outlineLevel="0" collapsed="false">
      <c r="A50" s="6" t="s">
        <v>30</v>
      </c>
      <c r="B50" s="6" t="n">
        <v>1</v>
      </c>
      <c r="C50" s="6" t="s">
        <v>39</v>
      </c>
      <c r="D50" s="6" t="s">
        <v>40</v>
      </c>
      <c r="E50" s="7" t="n">
        <v>100</v>
      </c>
      <c r="F50" s="7"/>
    </row>
    <row r="51" customFormat="false" ht="15" hidden="false" customHeight="true" outlineLevel="0" collapsed="false">
      <c r="A51" s="6" t="s">
        <v>30</v>
      </c>
      <c r="B51" s="6" t="n">
        <v>1</v>
      </c>
      <c r="C51" s="6" t="s">
        <v>39</v>
      </c>
      <c r="D51" s="6" t="s">
        <v>41</v>
      </c>
      <c r="E51" s="7" t="n">
        <v>100</v>
      </c>
      <c r="F51" s="7"/>
    </row>
    <row r="52" customFormat="false" ht="15" hidden="false" customHeight="true" outlineLevel="0" collapsed="false">
      <c r="A52" s="6" t="s">
        <v>30</v>
      </c>
      <c r="B52" s="6" t="n">
        <v>1</v>
      </c>
      <c r="C52" s="6" t="s">
        <v>42</v>
      </c>
      <c r="D52" s="6" t="s">
        <v>40</v>
      </c>
      <c r="E52" s="7" t="n">
        <v>70</v>
      </c>
      <c r="F52" s="7"/>
    </row>
    <row r="53" customFormat="false" ht="15" hidden="false" customHeight="true" outlineLevel="0" collapsed="false">
      <c r="A53" s="6" t="s">
        <v>30</v>
      </c>
      <c r="B53" s="6" t="n">
        <v>1</v>
      </c>
      <c r="C53" s="6" t="s">
        <v>42</v>
      </c>
      <c r="D53" s="6" t="s">
        <v>41</v>
      </c>
      <c r="E53" s="7" t="n">
        <v>70</v>
      </c>
      <c r="F53" s="7"/>
    </row>
    <row r="54" customFormat="false" ht="15" hidden="false" customHeight="true" outlineLevel="0" collapsed="false">
      <c r="A54" s="6" t="s">
        <v>30</v>
      </c>
      <c r="B54" s="6" t="n">
        <v>1</v>
      </c>
      <c r="C54" s="6" t="s">
        <v>43</v>
      </c>
      <c r="D54" s="6" t="s">
        <v>40</v>
      </c>
      <c r="E54" s="7" t="n">
        <v>40</v>
      </c>
      <c r="F54" s="7"/>
    </row>
    <row r="55" customFormat="false" ht="15" hidden="false" customHeight="true" outlineLevel="0" collapsed="false">
      <c r="A55" s="6" t="s">
        <v>30</v>
      </c>
      <c r="B55" s="6" t="n">
        <v>1</v>
      </c>
      <c r="C55" s="6" t="s">
        <v>43</v>
      </c>
      <c r="D55" s="6" t="s">
        <v>41</v>
      </c>
      <c r="E55" s="7" t="n">
        <v>40</v>
      </c>
      <c r="F55" s="7"/>
    </row>
    <row r="56" customFormat="false" ht="15" hidden="false" customHeight="true" outlineLevel="0" collapsed="false">
      <c r="A56" s="6" t="s">
        <v>30</v>
      </c>
      <c r="B56" s="6" t="n">
        <v>1</v>
      </c>
      <c r="C56" s="6" t="s">
        <v>44</v>
      </c>
      <c r="D56" s="6" t="s">
        <v>40</v>
      </c>
      <c r="E56" s="7" t="n">
        <v>10</v>
      </c>
      <c r="F56" s="7"/>
    </row>
    <row r="57" customFormat="false" ht="15" hidden="false" customHeight="true" outlineLevel="0" collapsed="false">
      <c r="A57" s="6" t="s">
        <v>30</v>
      </c>
      <c r="B57" s="6" t="n">
        <v>1</v>
      </c>
      <c r="C57" s="6" t="s">
        <v>44</v>
      </c>
      <c r="D57" s="6" t="s">
        <v>41</v>
      </c>
      <c r="E57" s="7" t="n">
        <v>10</v>
      </c>
      <c r="F57" s="7"/>
    </row>
    <row r="58" customFormat="false" ht="15" hidden="false" customHeight="true" outlineLevel="0" collapsed="false">
      <c r="A58" s="6" t="s">
        <v>30</v>
      </c>
      <c r="B58" s="6" t="n">
        <v>2</v>
      </c>
      <c r="C58" s="6" t="s">
        <v>39</v>
      </c>
      <c r="D58" s="6" t="s">
        <v>40</v>
      </c>
      <c r="E58" s="7" t="n">
        <v>100</v>
      </c>
      <c r="F58" s="7"/>
    </row>
    <row r="59" customFormat="false" ht="15" hidden="false" customHeight="true" outlineLevel="0" collapsed="false">
      <c r="A59" s="6" t="s">
        <v>30</v>
      </c>
      <c r="B59" s="6" t="n">
        <v>2</v>
      </c>
      <c r="C59" s="6" t="s">
        <v>39</v>
      </c>
      <c r="D59" s="6" t="s">
        <v>41</v>
      </c>
      <c r="E59" s="7" t="n">
        <v>100</v>
      </c>
      <c r="F59" s="7"/>
    </row>
    <row r="60" customFormat="false" ht="15" hidden="false" customHeight="true" outlineLevel="0" collapsed="false">
      <c r="A60" s="6" t="s">
        <v>30</v>
      </c>
      <c r="B60" s="6" t="n">
        <v>2</v>
      </c>
      <c r="C60" s="6" t="s">
        <v>42</v>
      </c>
      <c r="D60" s="6" t="s">
        <v>40</v>
      </c>
      <c r="E60" s="7" t="n">
        <v>60</v>
      </c>
      <c r="F60" s="7"/>
    </row>
    <row r="61" customFormat="false" ht="15" hidden="false" customHeight="true" outlineLevel="0" collapsed="false">
      <c r="A61" s="6" t="s">
        <v>30</v>
      </c>
      <c r="B61" s="6" t="n">
        <v>2</v>
      </c>
      <c r="C61" s="6" t="s">
        <v>42</v>
      </c>
      <c r="D61" s="6" t="s">
        <v>41</v>
      </c>
      <c r="E61" s="7" t="n">
        <v>60</v>
      </c>
      <c r="F61" s="7"/>
    </row>
    <row r="62" customFormat="false" ht="15" hidden="false" customHeight="true" outlineLevel="0" collapsed="false">
      <c r="A62" s="6" t="s">
        <v>30</v>
      </c>
      <c r="B62" s="6" t="n">
        <v>2</v>
      </c>
      <c r="C62" s="6" t="s">
        <v>43</v>
      </c>
      <c r="D62" s="6" t="s">
        <v>40</v>
      </c>
      <c r="E62" s="7" t="n">
        <v>20</v>
      </c>
      <c r="F62" s="7"/>
    </row>
    <row r="63" customFormat="false" ht="15" hidden="false" customHeight="true" outlineLevel="0" collapsed="false">
      <c r="A63" s="6" t="s">
        <v>30</v>
      </c>
      <c r="B63" s="6" t="n">
        <v>2</v>
      </c>
      <c r="C63" s="6" t="s">
        <v>43</v>
      </c>
      <c r="D63" s="6" t="s">
        <v>41</v>
      </c>
      <c r="E63" s="7" t="n">
        <v>20</v>
      </c>
      <c r="F63" s="7"/>
    </row>
    <row r="64" customFormat="false" ht="15" hidden="false" customHeight="true" outlineLevel="0" collapsed="false">
      <c r="A64" s="6" t="s">
        <v>30</v>
      </c>
      <c r="B64" s="6" t="n">
        <v>2</v>
      </c>
      <c r="C64" s="6" t="s">
        <v>44</v>
      </c>
      <c r="D64" s="6" t="s">
        <v>40</v>
      </c>
      <c r="E64" s="7" t="n">
        <v>10</v>
      </c>
      <c r="F64" s="7"/>
    </row>
    <row r="65" customFormat="false" ht="15" hidden="false" customHeight="true" outlineLevel="0" collapsed="false">
      <c r="A65" s="6" t="s">
        <v>30</v>
      </c>
      <c r="B65" s="6" t="n">
        <v>2</v>
      </c>
      <c r="C65" s="6" t="s">
        <v>44</v>
      </c>
      <c r="D65" s="6" t="s">
        <v>41</v>
      </c>
      <c r="E65" s="7" t="n">
        <v>10</v>
      </c>
      <c r="F65" s="7"/>
    </row>
    <row r="66" customFormat="false" ht="15" hidden="false" customHeight="true" outlineLevel="0" collapsed="false">
      <c r="A66" s="6" t="s">
        <v>30</v>
      </c>
      <c r="B66" s="6" t="n">
        <v>3</v>
      </c>
      <c r="C66" s="6" t="s">
        <v>39</v>
      </c>
      <c r="D66" s="6" t="s">
        <v>40</v>
      </c>
      <c r="E66" s="7" t="n">
        <v>95</v>
      </c>
      <c r="F66" s="7"/>
    </row>
    <row r="67" customFormat="false" ht="15" hidden="false" customHeight="true" outlineLevel="0" collapsed="false">
      <c r="A67" s="6" t="s">
        <v>30</v>
      </c>
      <c r="B67" s="6" t="n">
        <v>3</v>
      </c>
      <c r="C67" s="6" t="s">
        <v>39</v>
      </c>
      <c r="D67" s="6" t="s">
        <v>41</v>
      </c>
      <c r="E67" s="7" t="n">
        <v>95</v>
      </c>
      <c r="F67" s="7"/>
    </row>
    <row r="68" customFormat="false" ht="15" hidden="false" customHeight="true" outlineLevel="0" collapsed="false">
      <c r="A68" s="6" t="s">
        <v>30</v>
      </c>
      <c r="B68" s="6" t="n">
        <v>3</v>
      </c>
      <c r="C68" s="6" t="s">
        <v>42</v>
      </c>
      <c r="D68" s="6" t="s">
        <v>40</v>
      </c>
      <c r="E68" s="7" t="n">
        <v>60</v>
      </c>
      <c r="F68" s="7"/>
    </row>
    <row r="69" customFormat="false" ht="15" hidden="false" customHeight="true" outlineLevel="0" collapsed="false">
      <c r="A69" s="6" t="s">
        <v>30</v>
      </c>
      <c r="B69" s="6" t="n">
        <v>3</v>
      </c>
      <c r="C69" s="6" t="s">
        <v>42</v>
      </c>
      <c r="D69" s="6" t="s">
        <v>41</v>
      </c>
      <c r="E69" s="7" t="n">
        <v>60</v>
      </c>
      <c r="F69" s="7"/>
    </row>
    <row r="70" customFormat="false" ht="15" hidden="false" customHeight="true" outlineLevel="0" collapsed="false">
      <c r="A70" s="6" t="s">
        <v>30</v>
      </c>
      <c r="B70" s="6" t="n">
        <v>3</v>
      </c>
      <c r="C70" s="6" t="s">
        <v>43</v>
      </c>
      <c r="D70" s="6" t="s">
        <v>40</v>
      </c>
      <c r="E70" s="7" t="n">
        <v>30</v>
      </c>
      <c r="F70" s="7"/>
    </row>
    <row r="71" customFormat="false" ht="15" hidden="false" customHeight="true" outlineLevel="0" collapsed="false">
      <c r="A71" s="6" t="s">
        <v>30</v>
      </c>
      <c r="B71" s="6" t="n">
        <v>3</v>
      </c>
      <c r="C71" s="6" t="s">
        <v>43</v>
      </c>
      <c r="D71" s="6" t="s">
        <v>41</v>
      </c>
      <c r="E71" s="7" t="n">
        <v>30</v>
      </c>
      <c r="F71" s="7"/>
    </row>
    <row r="72" customFormat="false" ht="15" hidden="false" customHeight="true" outlineLevel="0" collapsed="false">
      <c r="A72" s="6" t="s">
        <v>30</v>
      </c>
      <c r="B72" s="6" t="n">
        <v>3</v>
      </c>
      <c r="C72" s="6" t="s">
        <v>44</v>
      </c>
      <c r="D72" s="6" t="s">
        <v>40</v>
      </c>
      <c r="E72" s="7" t="n">
        <v>10</v>
      </c>
      <c r="F72" s="7"/>
    </row>
    <row r="73" customFormat="false" ht="15" hidden="false" customHeight="true" outlineLevel="0" collapsed="false">
      <c r="A73" s="6" t="s">
        <v>30</v>
      </c>
      <c r="B73" s="6" t="n">
        <v>3</v>
      </c>
      <c r="C73" s="6" t="s">
        <v>44</v>
      </c>
      <c r="D73" s="6" t="s">
        <v>41</v>
      </c>
      <c r="E73" s="7" t="n">
        <v>10</v>
      </c>
      <c r="F73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40"/>
    <col collapsed="false" customWidth="true" hidden="false" outlineLevel="0" max="4" min="4" style="1" width="22"/>
    <col collapsed="false" customWidth="true" hidden="false" outlineLevel="0" max="5" min="5" style="1" width="14"/>
    <col collapsed="false" customWidth="true" hidden="false" outlineLevel="0" max="7" min="6" style="1" width="22"/>
    <col collapsed="false" customWidth="true" hidden="false" outlineLevel="0" max="8" min="8" style="1" width="50"/>
  </cols>
  <sheetData>
    <row r="1" customFormat="false" ht="36" hidden="false" customHeight="true" outlineLevel="0" collapsed="false">
      <c r="A1" s="5" t="s">
        <v>16</v>
      </c>
      <c r="B1" s="5" t="s">
        <v>17</v>
      </c>
      <c r="C1" s="5" t="s">
        <v>45</v>
      </c>
      <c r="D1" s="5" t="s">
        <v>46</v>
      </c>
      <c r="E1" s="5" t="s">
        <v>47</v>
      </c>
      <c r="F1" s="5" t="s">
        <v>48</v>
      </c>
      <c r="G1" s="5" t="s">
        <v>49</v>
      </c>
      <c r="H1" s="5" t="s">
        <v>50</v>
      </c>
    </row>
    <row r="2" customFormat="false" ht="15" hidden="false" customHeight="true" outlineLevel="0" collapsed="false">
      <c r="A2" s="6" t="s">
        <v>21</v>
      </c>
      <c r="B2" s="6" t="n">
        <v>1</v>
      </c>
      <c r="C2" s="7" t="s">
        <v>51</v>
      </c>
      <c r="D2" s="7" t="s">
        <v>52</v>
      </c>
      <c r="E2" s="7" t="s">
        <v>42</v>
      </c>
      <c r="F2" s="7" t="s">
        <v>53</v>
      </c>
      <c r="G2" s="7" t="s">
        <v>52</v>
      </c>
      <c r="H2" s="7" t="s">
        <v>54</v>
      </c>
    </row>
    <row r="3" customFormat="false" ht="15" hidden="false" customHeight="true" outlineLevel="0" collapsed="false">
      <c r="A3" s="6" t="s">
        <v>21</v>
      </c>
      <c r="B3" s="6" t="n">
        <v>2</v>
      </c>
      <c r="C3" s="7" t="s">
        <v>55</v>
      </c>
      <c r="D3" s="7" t="s">
        <v>52</v>
      </c>
      <c r="E3" s="7" t="s">
        <v>42</v>
      </c>
      <c r="F3" s="7" t="s">
        <v>53</v>
      </c>
      <c r="G3" s="7" t="s">
        <v>52</v>
      </c>
      <c r="H3" s="7" t="s">
        <v>56</v>
      </c>
    </row>
    <row r="4" customFormat="false" ht="15" hidden="false" customHeight="true" outlineLevel="0" collapsed="false">
      <c r="A4" s="6" t="s">
        <v>21</v>
      </c>
      <c r="B4" s="6" t="n">
        <v>3</v>
      </c>
      <c r="C4" s="7" t="s">
        <v>57</v>
      </c>
      <c r="D4" s="7" t="s">
        <v>52</v>
      </c>
      <c r="E4" s="7" t="s">
        <v>58</v>
      </c>
      <c r="F4" s="7" t="s">
        <v>59</v>
      </c>
      <c r="G4" s="7" t="s">
        <v>52</v>
      </c>
      <c r="H4" s="7" t="s">
        <v>60</v>
      </c>
    </row>
    <row r="5" customFormat="false" ht="15" hidden="false" customHeight="true" outlineLevel="0" collapsed="false">
      <c r="A5" s="6" t="s">
        <v>26</v>
      </c>
      <c r="B5" s="6" t="n">
        <v>1</v>
      </c>
      <c r="C5" s="7" t="s">
        <v>61</v>
      </c>
      <c r="D5" s="7" t="s">
        <v>52</v>
      </c>
      <c r="E5" s="7" t="s">
        <v>44</v>
      </c>
      <c r="F5" s="7" t="s">
        <v>62</v>
      </c>
      <c r="G5" s="7" t="s">
        <v>52</v>
      </c>
      <c r="H5" s="7" t="s">
        <v>63</v>
      </c>
    </row>
    <row r="6" customFormat="false" ht="15" hidden="false" customHeight="true" outlineLevel="0" collapsed="false">
      <c r="A6" s="6" t="s">
        <v>26</v>
      </c>
      <c r="B6" s="6" t="n">
        <v>2</v>
      </c>
      <c r="C6" s="7" t="s">
        <v>64</v>
      </c>
      <c r="D6" s="7" t="s">
        <v>52</v>
      </c>
      <c r="E6" s="7" t="s">
        <v>44</v>
      </c>
      <c r="F6" s="7" t="s">
        <v>62</v>
      </c>
      <c r="G6" s="7" t="s">
        <v>52</v>
      </c>
      <c r="H6" s="7" t="s">
        <v>65</v>
      </c>
    </row>
    <row r="7" customFormat="false" ht="15" hidden="false" customHeight="true" outlineLevel="0" collapsed="false">
      <c r="A7" s="6" t="s">
        <v>26</v>
      </c>
      <c r="B7" s="6" t="n">
        <v>3</v>
      </c>
      <c r="C7" s="7" t="s">
        <v>66</v>
      </c>
      <c r="D7" s="7" t="s">
        <v>52</v>
      </c>
      <c r="E7" s="7" t="s">
        <v>44</v>
      </c>
      <c r="F7" s="7" t="s">
        <v>62</v>
      </c>
      <c r="G7" s="7" t="s">
        <v>52</v>
      </c>
      <c r="H7" s="7" t="s">
        <v>67</v>
      </c>
    </row>
    <row r="8" customFormat="false" ht="15" hidden="false" customHeight="true" outlineLevel="0" collapsed="false">
      <c r="A8" s="6" t="s">
        <v>30</v>
      </c>
      <c r="B8" s="6" t="n">
        <v>1</v>
      </c>
      <c r="C8" s="7" t="s">
        <v>68</v>
      </c>
      <c r="D8" s="7" t="s">
        <v>52</v>
      </c>
      <c r="E8" s="7" t="s">
        <v>58</v>
      </c>
      <c r="F8" s="7" t="s">
        <v>59</v>
      </c>
      <c r="G8" s="7" t="s">
        <v>52</v>
      </c>
      <c r="H8" s="7" t="s">
        <v>69</v>
      </c>
    </row>
    <row r="9" customFormat="false" ht="15" hidden="false" customHeight="true" outlineLevel="0" collapsed="false">
      <c r="A9" s="6" t="s">
        <v>30</v>
      </c>
      <c r="B9" s="6" t="n">
        <v>2</v>
      </c>
      <c r="C9" s="7" t="s">
        <v>70</v>
      </c>
      <c r="D9" s="7" t="s">
        <v>52</v>
      </c>
      <c r="E9" s="7" t="s">
        <v>58</v>
      </c>
      <c r="F9" s="7" t="s">
        <v>59</v>
      </c>
      <c r="G9" s="7" t="s">
        <v>52</v>
      </c>
      <c r="H9" s="7" t="s">
        <v>71</v>
      </c>
    </row>
    <row r="10" customFormat="false" ht="15" hidden="false" customHeight="true" outlineLevel="0" collapsed="false">
      <c r="A10" s="6" t="s">
        <v>30</v>
      </c>
      <c r="B10" s="6" t="n">
        <v>3</v>
      </c>
      <c r="C10" s="7" t="s">
        <v>72</v>
      </c>
      <c r="D10" s="7" t="s">
        <v>52</v>
      </c>
      <c r="E10" s="7" t="s">
        <v>73</v>
      </c>
      <c r="F10" s="7" t="s">
        <v>74</v>
      </c>
      <c r="G10" s="7" t="s">
        <v>52</v>
      </c>
      <c r="H10" s="7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5" min="4" style="1" width="20"/>
    <col collapsed="false" customWidth="true" hidden="false" outlineLevel="0" max="6" min="6" style="1" width="12"/>
    <col collapsed="false" customWidth="true" hidden="false" outlineLevel="0" max="7" min="7" style="1" width="70"/>
  </cols>
  <sheetData>
    <row r="1" customFormat="false" ht="15" hidden="false" customHeight="true" outlineLevel="0" collapsed="false">
      <c r="A1" s="5" t="s">
        <v>16</v>
      </c>
      <c r="B1" s="5" t="s">
        <v>17</v>
      </c>
      <c r="C1" s="5" t="s">
        <v>35</v>
      </c>
      <c r="D1" s="5" t="s">
        <v>76</v>
      </c>
      <c r="E1" s="5" t="s">
        <v>77</v>
      </c>
      <c r="F1" s="5" t="s">
        <v>78</v>
      </c>
      <c r="G1" s="5" t="s">
        <v>38</v>
      </c>
    </row>
    <row r="2" customFormat="false" ht="15" hidden="false" customHeight="true" outlineLevel="0" collapsed="false">
      <c r="A2" s="6" t="s">
        <v>21</v>
      </c>
      <c r="B2" s="6" t="n">
        <v>1</v>
      </c>
      <c r="C2" s="6" t="s">
        <v>39</v>
      </c>
      <c r="D2" s="7" t="n">
        <v>60</v>
      </c>
      <c r="E2" s="7" t="n">
        <v>40</v>
      </c>
      <c r="F2" s="8" t="n">
        <f aca="false">IF(OR(ISBLANK(D2),ISBLANK(E2)),"",D2+E2)</f>
        <v>100</v>
      </c>
      <c r="G2" s="7"/>
    </row>
    <row r="3" customFormat="false" ht="15" hidden="false" customHeight="true" outlineLevel="0" collapsed="false">
      <c r="A3" s="6" t="s">
        <v>21</v>
      </c>
      <c r="B3" s="6" t="n">
        <v>1</v>
      </c>
      <c r="C3" s="6" t="s">
        <v>42</v>
      </c>
      <c r="D3" s="7" t="n">
        <v>75</v>
      </c>
      <c r="E3" s="7" t="n">
        <v>25</v>
      </c>
      <c r="F3" s="8" t="n">
        <f aca="false">IF(OR(ISBLANK(D3),ISBLANK(E3)),"",D3+E3)</f>
        <v>100</v>
      </c>
      <c r="G3" s="7"/>
    </row>
    <row r="4" customFormat="false" ht="15" hidden="false" customHeight="true" outlineLevel="0" collapsed="false">
      <c r="A4" s="6" t="s">
        <v>21</v>
      </c>
      <c r="B4" s="6" t="n">
        <v>1</v>
      </c>
      <c r="C4" s="6" t="s">
        <v>43</v>
      </c>
      <c r="D4" s="7" t="n">
        <v>65</v>
      </c>
      <c r="E4" s="7" t="n">
        <v>35</v>
      </c>
      <c r="F4" s="8" t="n">
        <f aca="false">IF(OR(ISBLANK(D4),ISBLANK(E4)),"",D4+E4)</f>
        <v>100</v>
      </c>
      <c r="G4" s="7"/>
    </row>
    <row r="5" customFormat="false" ht="15" hidden="false" customHeight="true" outlineLevel="0" collapsed="false">
      <c r="A5" s="6" t="s">
        <v>21</v>
      </c>
      <c r="B5" s="6" t="n">
        <v>1</v>
      </c>
      <c r="C5" s="6" t="s">
        <v>44</v>
      </c>
      <c r="D5" s="7" t="n">
        <v>70</v>
      </c>
      <c r="E5" s="7" t="n">
        <v>30</v>
      </c>
      <c r="F5" s="8" t="n">
        <f aca="false">IF(OR(ISBLANK(D5),ISBLANK(E5)),"",D5+E5)</f>
        <v>100</v>
      </c>
      <c r="G5" s="7"/>
    </row>
    <row r="6" customFormat="false" ht="15" hidden="false" customHeight="true" outlineLevel="0" collapsed="false">
      <c r="A6" s="6" t="s">
        <v>21</v>
      </c>
      <c r="B6" s="6" t="n">
        <v>2</v>
      </c>
      <c r="C6" s="6" t="s">
        <v>39</v>
      </c>
      <c r="D6" s="7" t="n">
        <v>40</v>
      </c>
      <c r="E6" s="7" t="n">
        <v>60</v>
      </c>
      <c r="F6" s="8" t="n">
        <f aca="false">IF(OR(ISBLANK(D6),ISBLANK(E6)),"",D6+E6)</f>
        <v>100</v>
      </c>
      <c r="G6" s="7"/>
    </row>
    <row r="7" customFormat="false" ht="15" hidden="false" customHeight="true" outlineLevel="0" collapsed="false">
      <c r="A7" s="6" t="s">
        <v>21</v>
      </c>
      <c r="B7" s="6" t="n">
        <v>2</v>
      </c>
      <c r="C7" s="6" t="s">
        <v>42</v>
      </c>
      <c r="D7" s="7" t="n">
        <v>60</v>
      </c>
      <c r="E7" s="7" t="n">
        <v>40</v>
      </c>
      <c r="F7" s="8" t="n">
        <f aca="false">IF(OR(ISBLANK(D7),ISBLANK(E7)),"",D7+E7)</f>
        <v>100</v>
      </c>
      <c r="G7" s="7"/>
    </row>
    <row r="8" customFormat="false" ht="15" hidden="false" customHeight="true" outlineLevel="0" collapsed="false">
      <c r="A8" s="6" t="s">
        <v>21</v>
      </c>
      <c r="B8" s="6" t="n">
        <v>2</v>
      </c>
      <c r="C8" s="6" t="s">
        <v>43</v>
      </c>
      <c r="D8" s="7" t="n">
        <v>65</v>
      </c>
      <c r="E8" s="7" t="n">
        <v>35</v>
      </c>
      <c r="F8" s="8" t="n">
        <f aca="false">IF(OR(ISBLANK(D8),ISBLANK(E8)),"",D8+E8)</f>
        <v>100</v>
      </c>
      <c r="G8" s="7"/>
    </row>
    <row r="9" customFormat="false" ht="15" hidden="false" customHeight="true" outlineLevel="0" collapsed="false">
      <c r="A9" s="6" t="s">
        <v>21</v>
      </c>
      <c r="B9" s="6" t="n">
        <v>2</v>
      </c>
      <c r="C9" s="6" t="s">
        <v>44</v>
      </c>
      <c r="D9" s="7" t="n">
        <v>75</v>
      </c>
      <c r="E9" s="7" t="n">
        <v>25</v>
      </c>
      <c r="F9" s="8" t="n">
        <f aca="false">IF(OR(ISBLANK(D9),ISBLANK(E9)),"",D9+E9)</f>
        <v>100</v>
      </c>
      <c r="G9" s="7"/>
    </row>
    <row r="10" customFormat="false" ht="15" hidden="false" customHeight="true" outlineLevel="0" collapsed="false">
      <c r="A10" s="6" t="s">
        <v>21</v>
      </c>
      <c r="B10" s="6" t="n">
        <v>3</v>
      </c>
      <c r="C10" s="6" t="s">
        <v>39</v>
      </c>
      <c r="D10" s="7" t="n">
        <v>45</v>
      </c>
      <c r="E10" s="7" t="n">
        <v>55</v>
      </c>
      <c r="F10" s="8" t="n">
        <f aca="false">IF(OR(ISBLANK(D10),ISBLANK(E10)),"",D10+E10)</f>
        <v>100</v>
      </c>
      <c r="G10" s="7"/>
    </row>
    <row r="11" customFormat="false" ht="15" hidden="false" customHeight="true" outlineLevel="0" collapsed="false">
      <c r="A11" s="6" t="s">
        <v>21</v>
      </c>
      <c r="B11" s="6" t="n">
        <v>3</v>
      </c>
      <c r="C11" s="6" t="s">
        <v>42</v>
      </c>
      <c r="D11" s="7" t="n">
        <v>60</v>
      </c>
      <c r="E11" s="7" t="n">
        <v>40</v>
      </c>
      <c r="F11" s="8" t="n">
        <f aca="false">IF(OR(ISBLANK(D11),ISBLANK(E11)),"",D11+E11)</f>
        <v>100</v>
      </c>
      <c r="G11" s="7"/>
    </row>
    <row r="12" customFormat="false" ht="15" hidden="false" customHeight="true" outlineLevel="0" collapsed="false">
      <c r="A12" s="6" t="s">
        <v>21</v>
      </c>
      <c r="B12" s="6" t="n">
        <v>3</v>
      </c>
      <c r="C12" s="6" t="s">
        <v>43</v>
      </c>
      <c r="D12" s="7" t="n">
        <v>70</v>
      </c>
      <c r="E12" s="7" t="n">
        <v>30</v>
      </c>
      <c r="F12" s="8" t="n">
        <f aca="false">IF(OR(ISBLANK(D12),ISBLANK(E12)),"",D12+E12)</f>
        <v>100</v>
      </c>
      <c r="G12" s="7"/>
    </row>
    <row r="13" customFormat="false" ht="15" hidden="false" customHeight="true" outlineLevel="0" collapsed="false">
      <c r="A13" s="6" t="s">
        <v>21</v>
      </c>
      <c r="B13" s="6" t="n">
        <v>3</v>
      </c>
      <c r="C13" s="6" t="s">
        <v>44</v>
      </c>
      <c r="D13" s="7" t="n">
        <v>70</v>
      </c>
      <c r="E13" s="7" t="n">
        <v>30</v>
      </c>
      <c r="F13" s="8" t="n">
        <f aca="false">IF(OR(ISBLANK(D13),ISBLANK(E13)),"",D13+E13)</f>
        <v>100</v>
      </c>
      <c r="G13" s="7"/>
    </row>
    <row r="14" customFormat="false" ht="15" hidden="false" customHeight="true" outlineLevel="0" collapsed="false">
      <c r="A14" s="6" t="s">
        <v>26</v>
      </c>
      <c r="B14" s="6" t="n">
        <v>1</v>
      </c>
      <c r="C14" s="6" t="s">
        <v>39</v>
      </c>
      <c r="D14" s="7" t="n">
        <v>45</v>
      </c>
      <c r="E14" s="7" t="n">
        <v>55</v>
      </c>
      <c r="F14" s="8" t="n">
        <f aca="false">IF(OR(ISBLANK(D14),ISBLANK(E14)),"",D14+E14)</f>
        <v>100</v>
      </c>
      <c r="G14" s="7"/>
    </row>
    <row r="15" customFormat="false" ht="15" hidden="false" customHeight="true" outlineLevel="0" collapsed="false">
      <c r="A15" s="6" t="s">
        <v>26</v>
      </c>
      <c r="B15" s="6" t="n">
        <v>1</v>
      </c>
      <c r="C15" s="6" t="s">
        <v>42</v>
      </c>
      <c r="D15" s="7" t="n">
        <v>60</v>
      </c>
      <c r="E15" s="7" t="n">
        <v>40</v>
      </c>
      <c r="F15" s="8" t="n">
        <f aca="false">IF(OR(ISBLANK(D15),ISBLANK(E15)),"",D15+E15)</f>
        <v>100</v>
      </c>
      <c r="G15" s="7"/>
    </row>
    <row r="16" customFormat="false" ht="15" hidden="false" customHeight="true" outlineLevel="0" collapsed="false">
      <c r="A16" s="6" t="s">
        <v>26</v>
      </c>
      <c r="B16" s="6" t="n">
        <v>1</v>
      </c>
      <c r="C16" s="6" t="s">
        <v>43</v>
      </c>
      <c r="D16" s="7" t="n">
        <v>65</v>
      </c>
      <c r="E16" s="7" t="n">
        <v>35</v>
      </c>
      <c r="F16" s="8" t="n">
        <f aca="false">IF(OR(ISBLANK(D16),ISBLANK(E16)),"",D16+E16)</f>
        <v>100</v>
      </c>
      <c r="G16" s="7"/>
    </row>
    <row r="17" customFormat="false" ht="15" hidden="false" customHeight="true" outlineLevel="0" collapsed="false">
      <c r="A17" s="6" t="s">
        <v>26</v>
      </c>
      <c r="B17" s="6" t="n">
        <v>1</v>
      </c>
      <c r="C17" s="6" t="s">
        <v>44</v>
      </c>
      <c r="D17" s="7" t="n">
        <v>75</v>
      </c>
      <c r="E17" s="7" t="n">
        <v>25</v>
      </c>
      <c r="F17" s="8" t="n">
        <f aca="false">IF(OR(ISBLANK(D17),ISBLANK(E17)),"",D17+E17)</f>
        <v>100</v>
      </c>
      <c r="G17" s="7"/>
    </row>
    <row r="18" customFormat="false" ht="15" hidden="false" customHeight="true" outlineLevel="0" collapsed="false">
      <c r="A18" s="6" t="s">
        <v>26</v>
      </c>
      <c r="B18" s="6" t="n">
        <v>2</v>
      </c>
      <c r="C18" s="6" t="s">
        <v>39</v>
      </c>
      <c r="D18" s="7" t="n">
        <v>52</v>
      </c>
      <c r="E18" s="7" t="n">
        <v>48</v>
      </c>
      <c r="F18" s="8" t="n">
        <f aca="false">IF(OR(ISBLANK(D18),ISBLANK(E18)),"",D18+E18)</f>
        <v>100</v>
      </c>
      <c r="G18" s="7"/>
    </row>
    <row r="19" customFormat="false" ht="15" hidden="false" customHeight="true" outlineLevel="0" collapsed="false">
      <c r="A19" s="6" t="s">
        <v>26</v>
      </c>
      <c r="B19" s="6" t="n">
        <v>2</v>
      </c>
      <c r="C19" s="6" t="s">
        <v>42</v>
      </c>
      <c r="D19" s="7" t="n">
        <v>48</v>
      </c>
      <c r="E19" s="7" t="n">
        <v>52</v>
      </c>
      <c r="F19" s="8" t="n">
        <f aca="false">IF(OR(ISBLANK(D19),ISBLANK(E19)),"",D19+E19)</f>
        <v>100</v>
      </c>
      <c r="G19" s="7"/>
    </row>
    <row r="20" customFormat="false" ht="15" hidden="false" customHeight="true" outlineLevel="0" collapsed="false">
      <c r="A20" s="6" t="s">
        <v>26</v>
      </c>
      <c r="B20" s="6" t="n">
        <v>2</v>
      </c>
      <c r="C20" s="6" t="s">
        <v>43</v>
      </c>
      <c r="D20" s="7" t="n">
        <v>45</v>
      </c>
      <c r="E20" s="7" t="n">
        <v>55</v>
      </c>
      <c r="F20" s="8" t="n">
        <f aca="false">IF(OR(ISBLANK(D20),ISBLANK(E20)),"",D20+E20)</f>
        <v>100</v>
      </c>
      <c r="G20" s="7"/>
    </row>
    <row r="21" customFormat="false" ht="15" hidden="false" customHeight="true" outlineLevel="0" collapsed="false">
      <c r="A21" s="6" t="s">
        <v>26</v>
      </c>
      <c r="B21" s="6" t="n">
        <v>2</v>
      </c>
      <c r="C21" s="6" t="s">
        <v>44</v>
      </c>
      <c r="D21" s="7" t="n">
        <v>45</v>
      </c>
      <c r="E21" s="7" t="n">
        <v>55</v>
      </c>
      <c r="F21" s="8" t="n">
        <f aca="false">IF(OR(ISBLANK(D21),ISBLANK(E21)),"",D21+E21)</f>
        <v>100</v>
      </c>
      <c r="G21" s="7"/>
    </row>
    <row r="22" customFormat="false" ht="15" hidden="false" customHeight="true" outlineLevel="0" collapsed="false">
      <c r="A22" s="6" t="s">
        <v>26</v>
      </c>
      <c r="B22" s="6" t="n">
        <v>3</v>
      </c>
      <c r="C22" s="6" t="s">
        <v>39</v>
      </c>
      <c r="D22" s="7" t="n">
        <v>52</v>
      </c>
      <c r="E22" s="7" t="n">
        <v>48</v>
      </c>
      <c r="F22" s="8" t="n">
        <f aca="false">IF(OR(ISBLANK(D22),ISBLANK(E22)),"",D22+E22)</f>
        <v>100</v>
      </c>
      <c r="G22" s="7"/>
    </row>
    <row r="23" customFormat="false" ht="15" hidden="false" customHeight="true" outlineLevel="0" collapsed="false">
      <c r="A23" s="6" t="s">
        <v>26</v>
      </c>
      <c r="B23" s="6" t="n">
        <v>3</v>
      </c>
      <c r="C23" s="6" t="s">
        <v>42</v>
      </c>
      <c r="D23" s="7" t="n">
        <v>55</v>
      </c>
      <c r="E23" s="7" t="n">
        <v>45</v>
      </c>
      <c r="F23" s="8" t="n">
        <f aca="false">IF(OR(ISBLANK(D23),ISBLANK(E23)),"",D23+E23)</f>
        <v>100</v>
      </c>
      <c r="G23" s="7"/>
    </row>
    <row r="24" customFormat="false" ht="15" hidden="false" customHeight="true" outlineLevel="0" collapsed="false">
      <c r="A24" s="6" t="s">
        <v>26</v>
      </c>
      <c r="B24" s="6" t="n">
        <v>3</v>
      </c>
      <c r="C24" s="6" t="s">
        <v>43</v>
      </c>
      <c r="D24" s="7" t="n">
        <v>53</v>
      </c>
      <c r="E24" s="7" t="n">
        <v>47</v>
      </c>
      <c r="F24" s="8" t="n">
        <f aca="false">IF(OR(ISBLANK(D24),ISBLANK(E24)),"",D24+E24)</f>
        <v>100</v>
      </c>
      <c r="G24" s="7"/>
    </row>
    <row r="25" customFormat="false" ht="15" hidden="false" customHeight="true" outlineLevel="0" collapsed="false">
      <c r="A25" s="6" t="s">
        <v>26</v>
      </c>
      <c r="B25" s="6" t="n">
        <v>3</v>
      </c>
      <c r="C25" s="6" t="s">
        <v>44</v>
      </c>
      <c r="D25" s="7" t="n">
        <v>65</v>
      </c>
      <c r="E25" s="7" t="n">
        <v>35</v>
      </c>
      <c r="F25" s="8" t="n">
        <f aca="false">IF(OR(ISBLANK(D25),ISBLANK(E25)),"",D25+E25)</f>
        <v>100</v>
      </c>
      <c r="G25" s="7"/>
    </row>
    <row r="26" customFormat="false" ht="15" hidden="false" customHeight="true" outlineLevel="0" collapsed="false">
      <c r="A26" s="6" t="s">
        <v>30</v>
      </c>
      <c r="B26" s="6" t="n">
        <v>1</v>
      </c>
      <c r="C26" s="6" t="s">
        <v>39</v>
      </c>
      <c r="D26" s="7" t="n">
        <v>30</v>
      </c>
      <c r="E26" s="7" t="n">
        <v>70</v>
      </c>
      <c r="F26" s="8" t="n">
        <f aca="false">IF(OR(ISBLANK(D26),ISBLANK(E26)),"",D26+E26)</f>
        <v>100</v>
      </c>
      <c r="G26" s="7"/>
    </row>
    <row r="27" customFormat="false" ht="15" hidden="false" customHeight="true" outlineLevel="0" collapsed="false">
      <c r="A27" s="6" t="s">
        <v>30</v>
      </c>
      <c r="B27" s="6" t="n">
        <v>1</v>
      </c>
      <c r="C27" s="6" t="s">
        <v>42</v>
      </c>
      <c r="D27" s="7" t="n">
        <v>40</v>
      </c>
      <c r="E27" s="7" t="n">
        <v>60</v>
      </c>
      <c r="F27" s="8" t="n">
        <f aca="false">IF(OR(ISBLANK(D27),ISBLANK(E27)),"",D27+E27)</f>
        <v>100</v>
      </c>
      <c r="G27" s="7"/>
    </row>
    <row r="28" customFormat="false" ht="15" hidden="false" customHeight="true" outlineLevel="0" collapsed="false">
      <c r="A28" s="6" t="s">
        <v>30</v>
      </c>
      <c r="B28" s="6" t="n">
        <v>1</v>
      </c>
      <c r="C28" s="6" t="s">
        <v>43</v>
      </c>
      <c r="D28" s="7" t="n">
        <v>70</v>
      </c>
      <c r="E28" s="7" t="n">
        <v>30</v>
      </c>
      <c r="F28" s="8" t="n">
        <f aca="false">IF(OR(ISBLANK(D28),ISBLANK(E28)),"",D28+E28)</f>
        <v>100</v>
      </c>
      <c r="G28" s="7"/>
    </row>
    <row r="29" customFormat="false" ht="15" hidden="false" customHeight="true" outlineLevel="0" collapsed="false">
      <c r="A29" s="6" t="s">
        <v>30</v>
      </c>
      <c r="B29" s="6" t="n">
        <v>1</v>
      </c>
      <c r="C29" s="6" t="s">
        <v>44</v>
      </c>
      <c r="D29" s="7" t="n">
        <v>90</v>
      </c>
      <c r="E29" s="7" t="n">
        <v>10</v>
      </c>
      <c r="F29" s="8" t="n">
        <f aca="false">IF(OR(ISBLANK(D29),ISBLANK(E29)),"",D29+E29)</f>
        <v>100</v>
      </c>
      <c r="G29" s="7"/>
    </row>
    <row r="30" customFormat="false" ht="15" hidden="false" customHeight="true" outlineLevel="0" collapsed="false">
      <c r="A30" s="6" t="s">
        <v>30</v>
      </c>
      <c r="B30" s="6" t="n">
        <v>2</v>
      </c>
      <c r="C30" s="6" t="s">
        <v>39</v>
      </c>
      <c r="D30" s="7" t="n">
        <v>20</v>
      </c>
      <c r="E30" s="7" t="n">
        <v>80</v>
      </c>
      <c r="F30" s="8" t="n">
        <f aca="false">IF(OR(ISBLANK(D30),ISBLANK(E30)),"",D30+E30)</f>
        <v>100</v>
      </c>
      <c r="G30" s="7"/>
    </row>
    <row r="31" customFormat="false" ht="15" hidden="false" customHeight="true" outlineLevel="0" collapsed="false">
      <c r="A31" s="6" t="s">
        <v>30</v>
      </c>
      <c r="B31" s="6" t="n">
        <v>2</v>
      </c>
      <c r="C31" s="6" t="s">
        <v>42</v>
      </c>
      <c r="D31" s="7" t="n">
        <v>50</v>
      </c>
      <c r="E31" s="7" t="n">
        <v>50</v>
      </c>
      <c r="F31" s="8" t="n">
        <f aca="false">IF(OR(ISBLANK(D31),ISBLANK(E31)),"",D31+E31)</f>
        <v>100</v>
      </c>
      <c r="G31" s="7"/>
    </row>
    <row r="32" customFormat="false" ht="15" hidden="false" customHeight="true" outlineLevel="0" collapsed="false">
      <c r="A32" s="6" t="s">
        <v>30</v>
      </c>
      <c r="B32" s="6" t="n">
        <v>2</v>
      </c>
      <c r="C32" s="6" t="s">
        <v>43</v>
      </c>
      <c r="D32" s="7" t="n">
        <v>40</v>
      </c>
      <c r="E32" s="7" t="n">
        <v>60</v>
      </c>
      <c r="F32" s="8" t="n">
        <f aca="false">IF(OR(ISBLANK(D32),ISBLANK(E32)),"",D32+E32)</f>
        <v>100</v>
      </c>
      <c r="G32" s="7"/>
    </row>
    <row r="33" customFormat="false" ht="15" hidden="false" customHeight="true" outlineLevel="0" collapsed="false">
      <c r="A33" s="6" t="s">
        <v>30</v>
      </c>
      <c r="B33" s="6" t="n">
        <v>2</v>
      </c>
      <c r="C33" s="6" t="s">
        <v>44</v>
      </c>
      <c r="D33" s="7" t="n">
        <v>70</v>
      </c>
      <c r="E33" s="7" t="n">
        <v>30</v>
      </c>
      <c r="F33" s="8" t="n">
        <f aca="false">IF(OR(ISBLANK(D33),ISBLANK(E33)),"",D33+E33)</f>
        <v>100</v>
      </c>
      <c r="G33" s="7"/>
    </row>
    <row r="34" customFormat="false" ht="15" hidden="false" customHeight="true" outlineLevel="0" collapsed="false">
      <c r="A34" s="6" t="s">
        <v>30</v>
      </c>
      <c r="B34" s="6" t="n">
        <v>3</v>
      </c>
      <c r="C34" s="6" t="s">
        <v>39</v>
      </c>
      <c r="D34" s="7" t="n">
        <v>25</v>
      </c>
      <c r="E34" s="7" t="n">
        <v>75</v>
      </c>
      <c r="F34" s="8" t="n">
        <f aca="false">IF(OR(ISBLANK(D34),ISBLANK(E34)),"",D34+E34)</f>
        <v>100</v>
      </c>
      <c r="G34" s="7"/>
    </row>
    <row r="35" customFormat="false" ht="15" hidden="false" customHeight="true" outlineLevel="0" collapsed="false">
      <c r="A35" s="6" t="s">
        <v>30</v>
      </c>
      <c r="B35" s="6" t="n">
        <v>3</v>
      </c>
      <c r="C35" s="6" t="s">
        <v>42</v>
      </c>
      <c r="D35" s="7" t="n">
        <v>40</v>
      </c>
      <c r="E35" s="7" t="n">
        <v>60</v>
      </c>
      <c r="F35" s="8" t="n">
        <f aca="false">IF(OR(ISBLANK(D35),ISBLANK(E35)),"",D35+E35)</f>
        <v>100</v>
      </c>
      <c r="G35" s="7"/>
    </row>
    <row r="36" customFormat="false" ht="15" hidden="false" customHeight="true" outlineLevel="0" collapsed="false">
      <c r="A36" s="6" t="s">
        <v>30</v>
      </c>
      <c r="B36" s="6" t="n">
        <v>3</v>
      </c>
      <c r="C36" s="6" t="s">
        <v>43</v>
      </c>
      <c r="D36" s="7" t="n">
        <v>70</v>
      </c>
      <c r="E36" s="7" t="n">
        <v>30</v>
      </c>
      <c r="F36" s="8" t="n">
        <f aca="false">IF(OR(ISBLANK(D36),ISBLANK(E36)),"",D36+E36)</f>
        <v>100</v>
      </c>
      <c r="G36" s="7"/>
    </row>
    <row r="37" customFormat="false" ht="15" hidden="false" customHeight="true" outlineLevel="0" collapsed="false">
      <c r="A37" s="6" t="s">
        <v>30</v>
      </c>
      <c r="B37" s="6" t="n">
        <v>3</v>
      </c>
      <c r="C37" s="6" t="s">
        <v>44</v>
      </c>
      <c r="D37" s="7" t="n">
        <v>85</v>
      </c>
      <c r="E37" s="7" t="n">
        <v>15</v>
      </c>
      <c r="F37" s="8" t="n">
        <f aca="false">IF(OR(ISBLANK(D37),ISBLANK(E37)),"",D37+E37)</f>
        <v>100</v>
      </c>
      <c r="G3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11" min="2" style="1" width="16"/>
  </cols>
  <sheetData>
    <row r="1" customFormat="false" ht="21.75" hidden="false" customHeight="true" outlineLevel="0" collapsed="false">
      <c r="A1" s="9" t="s">
        <v>79</v>
      </c>
    </row>
    <row r="3" customFormat="false" ht="21.75" hidden="false" customHeight="true" outlineLevel="0" collapsed="false">
      <c r="A3" s="10" t="s">
        <v>80</v>
      </c>
      <c r="B3" s="10"/>
      <c r="C3" s="10"/>
      <c r="D3" s="10"/>
    </row>
    <row r="4" customFormat="false" ht="15" hidden="false" customHeight="true" outlineLevel="0" collapsed="false">
      <c r="A4" s="5" t="s">
        <v>35</v>
      </c>
      <c r="B4" s="5" t="s">
        <v>40</v>
      </c>
      <c r="C4" s="5" t="s">
        <v>41</v>
      </c>
      <c r="D4" s="5" t="s">
        <v>81</v>
      </c>
    </row>
    <row r="5" customFormat="false" ht="15" hidden="false" customHeight="true" outlineLevel="0" collapsed="false">
      <c r="A5" s="11" t="s">
        <v>39</v>
      </c>
      <c r="B5" s="12" t="n">
        <f aca="false">IFERROR(AVERAGEIFS(P1_Similarity!E:E,P1_Similarity!C:C,A5,P1_Similarity!D:D,$B$4),"")</f>
        <v>94.5555555555556</v>
      </c>
      <c r="C5" s="12" t="n">
        <f aca="false">IFERROR(AVERAGEIFS(P1_Similarity!E:E,P1_Similarity!C:C,A5,P1_Similarity!D:D,$C$4),"")</f>
        <v>94.6666666666667</v>
      </c>
      <c r="D5" s="13" t="n">
        <f aca="false">IFERROR(AVERAGE(B5:C5),"")</f>
        <v>94.6111111111111</v>
      </c>
    </row>
    <row r="6" customFormat="false" ht="15" hidden="false" customHeight="true" outlineLevel="0" collapsed="false">
      <c r="A6" s="11" t="s">
        <v>42</v>
      </c>
      <c r="B6" s="12" t="n">
        <f aca="false">IFERROR(AVERAGEIFS(P1_Similarity!E:E,P1_Similarity!C:C,A6,P1_Similarity!D:D,$B$4),"")</f>
        <v>51.7777777777778</v>
      </c>
      <c r="C6" s="12" t="n">
        <f aca="false">IFERROR(AVERAGEIFS(P1_Similarity!E:E,P1_Similarity!C:C,A6,P1_Similarity!D:D,$C$4),"")</f>
        <v>50.6666666666667</v>
      </c>
      <c r="D6" s="13" t="n">
        <f aca="false">IFERROR(AVERAGE(B6:C6),"")</f>
        <v>51.2222222222222</v>
      </c>
    </row>
    <row r="7" customFormat="false" ht="15" hidden="false" customHeight="true" outlineLevel="0" collapsed="false">
      <c r="A7" s="11" t="s">
        <v>43</v>
      </c>
      <c r="B7" s="12" t="n">
        <f aca="false">IFERROR(AVERAGEIFS(P1_Similarity!E:E,P1_Similarity!C:C,A7,P1_Similarity!D:D,$B$4),"")</f>
        <v>30.1111111111111</v>
      </c>
      <c r="C7" s="12" t="n">
        <f aca="false">IFERROR(AVERAGEIFS(P1_Similarity!E:E,P1_Similarity!C:C,A7,P1_Similarity!D:D,$C$4),"")</f>
        <v>29.7777777777778</v>
      </c>
      <c r="D7" s="13" t="n">
        <f aca="false">IFERROR(AVERAGE(B7:C7),"")</f>
        <v>29.9444444444444</v>
      </c>
    </row>
    <row r="8" customFormat="false" ht="15" hidden="false" customHeight="true" outlineLevel="0" collapsed="false">
      <c r="A8" s="11" t="s">
        <v>44</v>
      </c>
      <c r="B8" s="12" t="n">
        <f aca="false">IFERROR(AVERAGEIFS(P1_Similarity!E:E,P1_Similarity!C:C,A8,P1_Similarity!D:D,$B$4),"")</f>
        <v>15</v>
      </c>
      <c r="C8" s="12" t="n">
        <f aca="false">IFERROR(AVERAGEIFS(P1_Similarity!E:E,P1_Similarity!C:C,A8,P1_Similarity!D:D,$C$4),"")</f>
        <v>13.8888888888889</v>
      </c>
      <c r="D8" s="13" t="n">
        <f aca="false">IFERROR(AVERAGE(B8:C8),"")</f>
        <v>14.4444444444444</v>
      </c>
    </row>
    <row r="9" customFormat="false" ht="15" hidden="false" customHeight="true" outlineLevel="0" collapsed="false">
      <c r="A9" s="14" t="s">
        <v>82</v>
      </c>
    </row>
    <row r="11" customFormat="false" ht="21.75" hidden="false" customHeight="true" outlineLevel="0" collapsed="false">
      <c r="A11" s="10" t="s">
        <v>83</v>
      </c>
      <c r="B11" s="10"/>
      <c r="C11" s="10"/>
      <c r="D11" s="10"/>
    </row>
    <row r="12" customFormat="false" ht="27.75" hidden="false" customHeight="true" outlineLevel="0" collapsed="false">
      <c r="A12" s="5" t="s">
        <v>35</v>
      </c>
      <c r="B12" s="5" t="s">
        <v>21</v>
      </c>
      <c r="C12" s="5" t="s">
        <v>26</v>
      </c>
      <c r="D12" s="5" t="s">
        <v>30</v>
      </c>
    </row>
    <row r="13" customFormat="false" ht="15" hidden="false" customHeight="true" outlineLevel="0" collapsed="false">
      <c r="A13" s="11" t="s">
        <v>39</v>
      </c>
      <c r="B13" s="12" t="n">
        <f aca="false">IFERROR(AVERAGEIFS(P1_Similarity!E:E,P1_Similarity!C:C,A13,P1_Similarity!A:A,$B$12),"")</f>
        <v>90</v>
      </c>
      <c r="C13" s="12" t="n">
        <f aca="false">IFERROR(AVERAGEIFS(P1_Similarity!E:E,P1_Similarity!C:C,A13,P1_Similarity!A:A,$C$12),"")</f>
        <v>95.5</v>
      </c>
      <c r="D13" s="12" t="n">
        <f aca="false">IFERROR(AVERAGEIFS(P1_Similarity!E:E,P1_Similarity!C:C,A13,P1_Similarity!A:A,$D$12),"")</f>
        <v>98.3333333333333</v>
      </c>
    </row>
    <row r="14" customFormat="false" ht="15" hidden="false" customHeight="true" outlineLevel="0" collapsed="false">
      <c r="A14" s="11" t="s">
        <v>42</v>
      </c>
      <c r="B14" s="12" t="n">
        <f aca="false">IFERROR(AVERAGEIFS(P1_Similarity!E:E,P1_Similarity!C:C,A14,P1_Similarity!A:A,$B$12),"")</f>
        <v>33.1666666666667</v>
      </c>
      <c r="C14" s="12" t="n">
        <f aca="false">IFERROR(AVERAGEIFS(P1_Similarity!E:E,P1_Similarity!C:C,A14,P1_Similarity!A:A,$C$12),"")</f>
        <v>57.1666666666667</v>
      </c>
      <c r="D14" s="12" t="n">
        <f aca="false">IFERROR(AVERAGEIFS(P1_Similarity!E:E,P1_Similarity!C:C,A14,P1_Similarity!A:A,$D$12),"")</f>
        <v>63.3333333333333</v>
      </c>
    </row>
    <row r="15" customFormat="false" ht="15" hidden="false" customHeight="true" outlineLevel="0" collapsed="false">
      <c r="A15" s="11" t="s">
        <v>43</v>
      </c>
      <c r="B15" s="12" t="n">
        <f aca="false">IFERROR(AVERAGEIFS(P1_Similarity!E:E,P1_Similarity!C:C,A15,P1_Similarity!A:A,$B$12),"")</f>
        <v>12</v>
      </c>
      <c r="C15" s="12" t="n">
        <f aca="false">IFERROR(AVERAGEIFS(P1_Similarity!E:E,P1_Similarity!C:C,A15,P1_Similarity!A:A,$C$12),"")</f>
        <v>47.8333333333333</v>
      </c>
      <c r="D15" s="12" t="n">
        <f aca="false">IFERROR(AVERAGEIFS(P1_Similarity!E:E,P1_Similarity!C:C,A15,P1_Similarity!A:A,$D$12),"")</f>
        <v>30</v>
      </c>
    </row>
    <row r="16" customFormat="false" ht="15" hidden="false" customHeight="true" outlineLevel="0" collapsed="false">
      <c r="A16" s="11" t="s">
        <v>44</v>
      </c>
      <c r="B16" s="12" t="n">
        <f aca="false">IFERROR(AVERAGEIFS(P1_Similarity!E:E,P1_Similarity!C:C,A16,P1_Similarity!A:A,$B$12),"")</f>
        <v>9</v>
      </c>
      <c r="C16" s="12" t="n">
        <f aca="false">IFERROR(AVERAGEIFS(P1_Similarity!E:E,P1_Similarity!C:C,A16,P1_Similarity!A:A,$C$12),"")</f>
        <v>24.3333333333333</v>
      </c>
      <c r="D16" s="12" t="n">
        <f aca="false">IFERROR(AVERAGEIFS(P1_Similarity!E:E,P1_Similarity!C:C,A16,P1_Similarity!A:A,$D$12),"")</f>
        <v>10</v>
      </c>
    </row>
    <row r="17" customFormat="false" ht="15" hidden="false" customHeight="true" outlineLevel="0" collapsed="false">
      <c r="A17" s="14" t="s">
        <v>84</v>
      </c>
    </row>
    <row r="19" customFormat="false" ht="21.75" hidden="false" customHeight="true" outlineLevel="0" collapsed="false">
      <c r="A19" s="10" t="s">
        <v>85</v>
      </c>
      <c r="B19" s="10"/>
      <c r="C19" s="10"/>
      <c r="D19" s="10"/>
    </row>
    <row r="20" customFormat="false" ht="15" hidden="false" customHeight="true" outlineLevel="0" collapsed="false">
      <c r="A20" s="5" t="s">
        <v>35</v>
      </c>
      <c r="B20" s="5" t="s">
        <v>86</v>
      </c>
      <c r="C20" s="5" t="s">
        <v>87</v>
      </c>
      <c r="D20" s="5" t="s">
        <v>88</v>
      </c>
    </row>
    <row r="21" customFormat="false" ht="15" hidden="false" customHeight="true" outlineLevel="0" collapsed="false">
      <c r="A21" s="11" t="s">
        <v>39</v>
      </c>
      <c r="B21" s="12" t="n">
        <f aca="false">IFERROR(AVERAGEIFS(P3_Retrieval!D:D,P3_Retrieval!C:C,A21),"")</f>
        <v>41</v>
      </c>
      <c r="C21" s="12" t="n">
        <f aca="false">IFERROR(AVERAGEIFS(P3_Retrieval!E:E,P3_Retrieval!C:C,A21),"")</f>
        <v>59</v>
      </c>
      <c r="D21" s="13" t="n">
        <f aca="false">IFERROR(B21+C21,"")</f>
        <v>100</v>
      </c>
    </row>
    <row r="22" customFormat="false" ht="15" hidden="false" customHeight="true" outlineLevel="0" collapsed="false">
      <c r="A22" s="11" t="s">
        <v>42</v>
      </c>
      <c r="B22" s="12" t="n">
        <f aca="false">IFERROR(AVERAGEIFS(P3_Retrieval!D:D,P3_Retrieval!C:C,A22),"")</f>
        <v>54.2222222222222</v>
      </c>
      <c r="C22" s="12" t="n">
        <f aca="false">IFERROR(AVERAGEIFS(P3_Retrieval!E:E,P3_Retrieval!C:C,A22),"")</f>
        <v>45.7777777777778</v>
      </c>
      <c r="D22" s="13" t="n">
        <f aca="false">IFERROR(B22+C22,"")</f>
        <v>100</v>
      </c>
    </row>
    <row r="23" customFormat="false" ht="15" hidden="false" customHeight="true" outlineLevel="0" collapsed="false">
      <c r="A23" s="11" t="s">
        <v>43</v>
      </c>
      <c r="B23" s="12" t="n">
        <f aca="false">IFERROR(AVERAGEIFS(P3_Retrieval!D:D,P3_Retrieval!C:C,A23),"")</f>
        <v>60.3333333333333</v>
      </c>
      <c r="C23" s="12" t="n">
        <f aca="false">IFERROR(AVERAGEIFS(P3_Retrieval!E:E,P3_Retrieval!C:C,A23),"")</f>
        <v>39.6666666666667</v>
      </c>
      <c r="D23" s="13" t="n">
        <f aca="false">IFERROR(B23+C23,"")</f>
        <v>100</v>
      </c>
    </row>
    <row r="24" customFormat="false" ht="15" hidden="false" customHeight="true" outlineLevel="0" collapsed="false">
      <c r="A24" s="11" t="s">
        <v>44</v>
      </c>
      <c r="B24" s="12" t="n">
        <f aca="false">IFERROR(AVERAGEIFS(P3_Retrieval!D:D,P3_Retrieval!C:C,A24),"")</f>
        <v>71.6666666666667</v>
      </c>
      <c r="C24" s="12" t="n">
        <f aca="false">IFERROR(AVERAGEIFS(P3_Retrieval!E:E,P3_Retrieval!C:C,A24),"")</f>
        <v>28.3333333333333</v>
      </c>
      <c r="D24" s="13" t="n">
        <f aca="false">IFERROR(B24+C24,"")</f>
        <v>100</v>
      </c>
    </row>
    <row r="25" customFormat="false" ht="15" hidden="false" customHeight="true" outlineLevel="0" collapsed="false">
      <c r="A25" s="14" t="s">
        <v>89</v>
      </c>
    </row>
    <row r="27" customFormat="false" ht="21.75" hidden="false" customHeight="true" outlineLevel="0" collapsed="false">
      <c r="A27" s="10" t="s">
        <v>90</v>
      </c>
      <c r="B27" s="10"/>
      <c r="C27" s="10"/>
      <c r="D27" s="10"/>
      <c r="E27" s="10"/>
    </row>
    <row r="28" customFormat="false" ht="27.75" hidden="false" customHeight="true" outlineLevel="0" collapsed="false">
      <c r="A28" s="5" t="s">
        <v>35</v>
      </c>
      <c r="B28" s="5" t="s">
        <v>91</v>
      </c>
      <c r="C28" s="5" t="s">
        <v>92</v>
      </c>
      <c r="D28" s="5" t="s">
        <v>93</v>
      </c>
      <c r="E28" s="5" t="s">
        <v>94</v>
      </c>
    </row>
    <row r="29" customFormat="false" ht="15" hidden="false" customHeight="true" outlineLevel="0" collapsed="false">
      <c r="A29" s="11" t="s">
        <v>39</v>
      </c>
      <c r="B29" s="12" t="n">
        <f aca="false">IFERROR(AVERAGEIFS(P1_Similarity!E:E,P1_Similarity!C:C,A29,P1_Similarity!B:B,1),"")</f>
        <v>95</v>
      </c>
      <c r="C29" s="12" t="n">
        <f aca="false">IFERROR(AVERAGEIFS(P1_Similarity!E:E,P1_Similarity!C:C,A29,P1_Similarity!B:B,2),"")</f>
        <v>95.1666666666667</v>
      </c>
      <c r="D29" s="12" t="n">
        <f aca="false">IFERROR(AVERAGEIFS(P1_Similarity!E:E,P1_Similarity!C:C,A29,P1_Similarity!B:B,3),"")</f>
        <v>93.6666666666667</v>
      </c>
      <c r="E29" s="13" t="n">
        <f aca="false">IFERROR(MAX(B29:D29)-MIN(B29:D29),"")</f>
        <v>1.5</v>
      </c>
    </row>
    <row r="30" customFormat="false" ht="15" hidden="false" customHeight="true" outlineLevel="0" collapsed="false">
      <c r="A30" s="11" t="s">
        <v>42</v>
      </c>
      <c r="B30" s="12" t="n">
        <f aca="false">IFERROR(AVERAGEIFS(P1_Similarity!E:E,P1_Similarity!C:C,A30,P1_Similarity!B:B,1),"")</f>
        <v>52.6666666666667</v>
      </c>
      <c r="C30" s="12" t="n">
        <f aca="false">IFERROR(AVERAGEIFS(P1_Similarity!E:E,P1_Similarity!C:C,A30,P1_Similarity!B:B,2),"")</f>
        <v>47.1666666666667</v>
      </c>
      <c r="D30" s="12" t="n">
        <f aca="false">IFERROR(AVERAGEIFS(P1_Similarity!E:E,P1_Similarity!C:C,A30,P1_Similarity!B:B,3),"")</f>
        <v>53.8333333333333</v>
      </c>
      <c r="E30" s="13" t="n">
        <f aca="false">IFERROR(MAX(B30:D30)-MIN(B30:D30),"")</f>
        <v>6.66666666666667</v>
      </c>
    </row>
    <row r="31" customFormat="false" ht="15" hidden="false" customHeight="true" outlineLevel="0" collapsed="false">
      <c r="A31" s="11" t="s">
        <v>43</v>
      </c>
      <c r="B31" s="12" t="n">
        <f aca="false">IFERROR(AVERAGEIFS(P1_Similarity!E:E,P1_Similarity!C:C,A31,P1_Similarity!B:B,1),"")</f>
        <v>33.8333333333333</v>
      </c>
      <c r="C31" s="12" t="n">
        <f aca="false">IFERROR(AVERAGEIFS(P1_Similarity!E:E,P1_Similarity!C:C,A31,P1_Similarity!B:B,2),"")</f>
        <v>23.5</v>
      </c>
      <c r="D31" s="12" t="n">
        <f aca="false">IFERROR(AVERAGEIFS(P1_Similarity!E:E,P1_Similarity!C:C,A31,P1_Similarity!B:B,3),"")</f>
        <v>32.5</v>
      </c>
      <c r="E31" s="13" t="n">
        <f aca="false">IFERROR(MAX(B31:D31)-MIN(B31:D31),"")</f>
        <v>10.3333333333333</v>
      </c>
    </row>
    <row r="32" customFormat="false" ht="15" hidden="false" customHeight="true" outlineLevel="0" collapsed="false">
      <c r="A32" s="11" t="s">
        <v>44</v>
      </c>
      <c r="B32" s="12" t="n">
        <f aca="false">IFERROR(AVERAGEIFS(P1_Similarity!E:E,P1_Similarity!C:C,A32,P1_Similarity!B:B,1),"")</f>
        <v>14.3333333333333</v>
      </c>
      <c r="C32" s="12" t="n">
        <f aca="false">IFERROR(AVERAGEIFS(P1_Similarity!E:E,P1_Similarity!C:C,A32,P1_Similarity!B:B,2),"")</f>
        <v>15.8333333333333</v>
      </c>
      <c r="D32" s="12" t="n">
        <f aca="false">IFERROR(AVERAGEIFS(P1_Similarity!E:E,P1_Similarity!C:C,A32,P1_Similarity!B:B,3),"")</f>
        <v>13.1666666666667</v>
      </c>
      <c r="E32" s="13" t="n">
        <f aca="false">IFERROR(MAX(B32:D32)-MIN(B32:D32),"")</f>
        <v>2.66666666666667</v>
      </c>
    </row>
    <row r="33" customFormat="false" ht="15" hidden="false" customHeight="true" outlineLevel="0" collapsed="false">
      <c r="A33" s="14" t="s">
        <v>95</v>
      </c>
    </row>
  </sheetData>
  <mergeCells count="4">
    <mergeCell ref="A3:D3"/>
    <mergeCell ref="A11:D11"/>
    <mergeCell ref="A19:D19"/>
    <mergeCell ref="A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2026-05-20T12:38:22Z</dcterms:created>
  <dc:creator>openpyxl</dc:creator>
  <dc:description/>
  <dc:language>en-US</dc:language>
  <cp:lastModifiedBy/>
  <dcterms:modified xsi:type="dcterms:W3CDTF">2026-05-20T13:23:46Z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