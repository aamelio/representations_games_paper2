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yer1_control" sheetId="1" state="visible" r:id="rId3"/>
    <sheet name="player2_control" sheetId="2" state="visible" r:id="rId4"/>
    <sheet name="Player 1_market" sheetId="3" state="visible" r:id="rId5"/>
    <sheet name="Summary" sheetId="4" state="visible" r:id="rId6"/>
    <sheet name="Sheet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<sst xmlns="http://schemas.openxmlformats.org/spreadsheetml/2006/main" count="1615" uniqueCount="409">
  <si>
    <t xml:space="preserve">PROLIFIC_PID</t>
  </si>
  <si>
    <t xml:space="preserve">reason</t>
  </si>
  <si>
    <t xml:space="preserve">forced classification</t>
  </si>
  <si>
    <t xml:space="preserve">Reason for zero class / Behavior</t>
  </si>
  <si>
    <t xml:space="preserve">6107fc49a32960d2683676fc</t>
  </si>
  <si>
    <t xml:space="preserve">I think that should be enough to start with. </t>
  </si>
  <si>
    <t xml:space="preserve">Viability / heuristic</t>
  </si>
  <si>
    <t xml:space="preserve">67ef19849ce42ec68447928e</t>
  </si>
  <si>
    <t xml:space="preserve">based on my understanding</t>
  </si>
  <si>
    <t xml:space="preserve">Vague / Insufficient information / Random</t>
  </si>
  <si>
    <t xml:space="preserve">freq.</t>
  </si>
  <si>
    <t xml:space="preserve">freq.rel.</t>
  </si>
  <si>
    <t xml:space="preserve">5c0c90e7632102000147c3cc</t>
  </si>
  <si>
    <t xml:space="preserve">The atman lives within us and everyone. When you go outside and see the world (people, cats, mountains, rivers, birds, etc) What you see is a mirror. Becuase the real you isn't skin and flesh, it's hidden and beyond linear words.</t>
  </si>
  <si>
    <t xml:space="preserve">6745109c444973d1fa9f17d4</t>
  </si>
  <si>
    <t xml:space="preserve">I wasn't sure what to do. I'm not sure I know what I am doing. But if felt right in my gut</t>
  </si>
  <si>
    <t xml:space="preserve">676a584412b90586c1da74a0</t>
  </si>
  <si>
    <t xml:space="preserve">I thought to myself, what would the other participant do?</t>
  </si>
  <si>
    <t xml:space="preserve">Strategic interaction</t>
  </si>
  <si>
    <t xml:space="preserve">5e15d85bd62abeba42692ed3</t>
  </si>
  <si>
    <t xml:space="preserve">I don't believe that I was actually matched with a real person!</t>
  </si>
  <si>
    <t xml:space="preserve">Misunderstood the game</t>
  </si>
  <si>
    <t xml:space="preserve">64ab68704360985ae9dea61f</t>
  </si>
  <si>
    <t xml:space="preserve">I had no choice in what was allocated from the computer.  I was chosen to have more, so that is the luck of the draw.</t>
  </si>
  <si>
    <t xml:space="preserve">Status quo / default option</t>
  </si>
  <si>
    <t xml:space="preserve">tot.</t>
  </si>
  <si>
    <t xml:space="preserve">5ea7f2a576434f0008303441</t>
  </si>
  <si>
    <t xml:space="preserve">I do not think there is another person therefore I am taking from no one.</t>
  </si>
  <si>
    <t xml:space="preserve">6539445c1ace74e4d496f8e0</t>
  </si>
  <si>
    <t xml:space="preserve">i kept the random allocation as it was.</t>
  </si>
  <si>
    <t xml:space="preserve">5d61547443c13200193ccb12</t>
  </si>
  <si>
    <t xml:space="preserve">I think I just went with the status quo of what was given. </t>
  </si>
  <si>
    <t xml:space="preserve">655371cac562a3701896f9fc</t>
  </si>
  <si>
    <t xml:space="preserve">I will stick with what I was given.  That takes the decision away from me.</t>
  </si>
  <si>
    <t xml:space="preserve">631123376033bb148edc0ebb</t>
  </si>
  <si>
    <t xml:space="preserve">The allocation that I was given is what I would have chosen, I didn't want to change it.</t>
  </si>
  <si>
    <t xml:space="preserve">5d75af57bcfd5b001b192708</t>
  </si>
  <si>
    <t xml:space="preserve">no reson it was just the number I stopped on</t>
  </si>
  <si>
    <t xml:space="preserve">5e3b759740e302397f294a2d</t>
  </si>
  <si>
    <t xml:space="preserve">I accept the allocation that I was given and dont feel the need to give or take any money to the other participant.</t>
  </si>
  <si>
    <t xml:space="preserve">676075fb194ad11cc7649a1f</t>
  </si>
  <si>
    <t xml:space="preserve">I have based this open the study's allocated funding. I have chose to not change the allocations which the study has given</t>
  </si>
  <si>
    <t xml:space="preserve">5707c88f374137000fbc5aec</t>
  </si>
  <si>
    <t xml:space="preserve">I THOUGHT THAT WAS A RESAONABLE SUM.</t>
  </si>
  <si>
    <t xml:space="preserve">Equality / Reciprocity / Sharing</t>
  </si>
  <si>
    <t xml:space="preserve">67018d436b1fa744dfee9df0</t>
  </si>
  <si>
    <t xml:space="preserve">It was simply a gut feeling based on what I thought I might do if I were player 2</t>
  </si>
  <si>
    <t xml:space="preserve">6630dc7be78c35741b2ef9c8</t>
  </si>
  <si>
    <t xml:space="preserve">I chose it because thats what i can be able to give.</t>
  </si>
  <si>
    <t xml:space="preserve">5ea29c5cad06661b01230684</t>
  </si>
  <si>
    <t xml:space="preserve">It seems like a good starting point. Not too little, not too much.</t>
  </si>
  <si>
    <t xml:space="preserve">680dc9d524604b69fbc41814</t>
  </si>
  <si>
    <t xml:space="preserve">So Player 1 gets $6, he can choose how much to send back. If he chooses $1 for example, we both get $5.</t>
  </si>
  <si>
    <t xml:space="preserve">673283141ee7ec9141e8bcf4</t>
  </si>
  <si>
    <t xml:space="preserve">I was curious as to what would occur if I sent all the money.</t>
  </si>
  <si>
    <t xml:space="preserve">6658b1e184cb793eeaa03fbc</t>
  </si>
  <si>
    <t xml:space="preserve">As they would then get 6</t>
  </si>
  <si>
    <t xml:space="preserve">5eaefa172e29805e3fc8081c</t>
  </si>
  <si>
    <t xml:space="preserve">why not, a bit of yolo in the afternoon.</t>
  </si>
  <si>
    <t xml:space="preserve">69c55b66d8ade7f9bd6109d6</t>
  </si>
  <si>
    <t xml:space="preserve">I chose to send 1.5 because I think am the bigger decider</t>
  </si>
  <si>
    <t xml:space="preserve">6736112af674ebe6a3298994</t>
  </si>
  <si>
    <t xml:space="preserve">I think it's normal amount and flexed</t>
  </si>
  <si>
    <t xml:space="preserve">664f7e5bbe54e083251e2950</t>
  </si>
  <si>
    <t xml:space="preserve">I'm feeling good today</t>
  </si>
  <si>
    <t xml:space="preserve">63038022102690944a6720cf</t>
  </si>
  <si>
    <t xml:space="preserve">I personally feel like it's a good amount</t>
  </si>
  <si>
    <t xml:space="preserve">69de40e41a3a029ceedebb14</t>
  </si>
  <si>
    <t xml:space="preserve">middle of the road amount</t>
  </si>
  <si>
    <t xml:space="preserve">69d771bc8295d1bea3da49cc</t>
  </si>
  <si>
    <t xml:space="preserve">I chose it because it was the middle amount </t>
  </si>
  <si>
    <t xml:space="preserve">67efcad870129b5d1f122c8d</t>
  </si>
  <si>
    <t xml:space="preserve">I;m just getting the hang of the game. </t>
  </si>
  <si>
    <t xml:space="preserve">6643c5d1c53f7ffbef7b96e0</t>
  </si>
  <si>
    <t xml:space="preserve">I went with my gut reaction. Not a lot, but not nothing either.</t>
  </si>
  <si>
    <t xml:space="preserve">69cbcec84da6cce6321abe1a</t>
  </si>
  <si>
    <t xml:space="preserve">Choosing this proposal simply means that i trust my colleague to be able to handle and make the right decisions about it and implement it.</t>
  </si>
  <si>
    <t xml:space="preserve">69bc2e44548552e940d2c1e0</t>
  </si>
  <si>
    <t xml:space="preserve">I feel that the  amount i have  allocated to the player is sufficient.</t>
  </si>
  <si>
    <t xml:space="preserve">69cc50b7d8b69400a3cc5e0f</t>
  </si>
  <si>
    <t xml:space="preserve">It suits the situation</t>
  </si>
  <si>
    <t xml:space="preserve">657628c407014e4bc9fb9eeb</t>
  </si>
  <si>
    <t xml:space="preserve">I just thought i would pick around 25 percent </t>
  </si>
  <si>
    <t xml:space="preserve">69db57b5e8dd8e9c01bcd866</t>
  </si>
  <si>
    <t xml:space="preserve">i chose to allocate less than half of the allotted amount due to personal preference</t>
  </si>
  <si>
    <t xml:space="preserve">69ddf5283bb835229738467d</t>
  </si>
  <si>
    <t xml:space="preserve">i feel that would be enough.</t>
  </si>
  <si>
    <t xml:space="preserve">698749dfa6d333b5c95a8a46</t>
  </si>
  <si>
    <t xml:space="preserve">It made sense to me.</t>
  </si>
  <si>
    <t xml:space="preserve">67e6d5f9bbdbca5a13db27ed</t>
  </si>
  <si>
    <t xml:space="preserve">it is based on my personal allocation following the instruction that was given.</t>
  </si>
  <si>
    <t xml:space="preserve">69b2c7bd6efab52fbd731469</t>
  </si>
  <si>
    <t xml:space="preserve">the allocation implementation</t>
  </si>
  <si>
    <t xml:space="preserve">697f07ae9595abbff4c39ffb</t>
  </si>
  <si>
    <t xml:space="preserve">BECAUSE I FEEL LIKE IT WILL BE ENOUGH</t>
  </si>
  <si>
    <t xml:space="preserve">66c0441e33d85e9bfd14bcc8</t>
  </si>
  <si>
    <t xml:space="preserve">i really have no idea . i just picked a ramdon number.</t>
  </si>
  <si>
    <t xml:space="preserve">69e3d97f631f2d671134a3a7</t>
  </si>
  <si>
    <t xml:space="preserve">5 seemed like it would be the most likely split between 10 hence I chose it instead of 6.</t>
  </si>
  <si>
    <t xml:space="preserve">6980f465beddc5f033e1c6a2</t>
  </si>
  <si>
    <t xml:space="preserve">it was in the middle</t>
  </si>
  <si>
    <t xml:space="preserve">60ba3ba230144fd3e30a1a85</t>
  </si>
  <si>
    <t xml:space="preserve">It was a guess and my lucky number </t>
  </si>
  <si>
    <t xml:space="preserve">65c38ee3d51360b8ce442ebd</t>
  </si>
  <si>
    <t xml:space="preserve">10 is my lucky number</t>
  </si>
  <si>
    <t xml:space="preserve">6151f8d17451289b4a59a6a8</t>
  </si>
  <si>
    <t xml:space="preserve">A friendly introduction to other person.</t>
  </si>
  <si>
    <t xml:space="preserve">6993a2122ad1ab7ae567e395</t>
  </si>
  <si>
    <t xml:space="preserve">I choose this proposal because it's the better choice and best choice.</t>
  </si>
  <si>
    <t xml:space="preserve">60188f840bed1516385a7959</t>
  </si>
  <si>
    <t xml:space="preserve">I honestly went with an arbitrary click. </t>
  </si>
  <si>
    <t xml:space="preserve">Forced classification</t>
  </si>
  <si>
    <t xml:space="preserve">650af20a70328dddf0a8d35d</t>
  </si>
  <si>
    <t xml:space="preserve">I gave them their money back.</t>
  </si>
  <si>
    <t xml:space="preserve">6518dc5a753b188afdddeeb7</t>
  </si>
  <si>
    <t xml:space="preserve">Player 1 is expecting equal payment so is not expecting  me to send anything back.</t>
  </si>
  <si>
    <t xml:space="preserve">65da0c93826bdadcf98372a9</t>
  </si>
  <si>
    <t xml:space="preserve">He received a higher amount initially.</t>
  </si>
  <si>
    <t xml:space="preserve">6679cfba14b59d3f748dd414</t>
  </si>
  <si>
    <t xml:space="preserve">It seems like a tiny amount to bicker over</t>
  </si>
  <si>
    <t xml:space="preserve">6332517a492e9ac48804f991</t>
  </si>
  <si>
    <t xml:space="preserve">Share some of the money with player 1</t>
  </si>
  <si>
    <t xml:space="preserve">69a2184961d848728def38d5</t>
  </si>
  <si>
    <t xml:space="preserve">I answered this question truthfully </t>
  </si>
  <si>
    <t xml:space="preserve">69df2e7746fd8e6cd8bfc1f4</t>
  </si>
  <si>
    <t xml:space="preserve">i chose that since it was the money they had sent me</t>
  </si>
  <si>
    <t xml:space="preserve">673219445982b7e6a1bdaa4b</t>
  </si>
  <si>
    <t xml:space="preserve">That player has $5 and I only have $3</t>
  </si>
  <si>
    <t xml:space="preserve">69bf97683362efaa04dadd5c</t>
  </si>
  <si>
    <t xml:space="preserve">Gave back the same proportion </t>
  </si>
  <si>
    <t xml:space="preserve">69a5591fa17bccaa7f211b28</t>
  </si>
  <si>
    <t xml:space="preserve">I thought it made sense to give them a dollar so that's exactly why I did it. </t>
  </si>
  <si>
    <t xml:space="preserve">69e2418141b109c5137c6b25</t>
  </si>
  <si>
    <t xml:space="preserve">I have answered the question truthfully</t>
  </si>
  <si>
    <t xml:space="preserve">69e04010c86493ce99af78f2</t>
  </si>
  <si>
    <t xml:space="preserve">It's the middle amount</t>
  </si>
  <si>
    <t xml:space="preserve">64057f3da9d6f08f1b96262d</t>
  </si>
  <si>
    <t xml:space="preserve">I just felt like sending back half,</t>
  </si>
  <si>
    <t xml:space="preserve">695fd827b3f105c2a349015f</t>
  </si>
  <si>
    <t xml:space="preserve">That's how much they sent me.</t>
  </si>
  <si>
    <t xml:space="preserve">5fad1135a1e0a638232ddbb2</t>
  </si>
  <si>
    <t xml:space="preserve">As I don't know this person </t>
  </si>
  <si>
    <t xml:space="preserve">69d86ed581febee443b91c94</t>
  </si>
  <si>
    <t xml:space="preserve">The amount will be doubled.</t>
  </si>
  <si>
    <t xml:space="preserve">580ff8b4b2432b00013e28b5</t>
  </si>
  <si>
    <t xml:space="preserve">Honestly, just chose an arbitrary amount without a lot of thought.</t>
  </si>
  <si>
    <t xml:space="preserve">62b341383dad27265a7a75cb</t>
  </si>
  <si>
    <t xml:space="preserve">honestly, i just chose a low reasonable amount.</t>
  </si>
  <si>
    <t xml:space="preserve">5d8c0aed48b2d10015bfcdb7</t>
  </si>
  <si>
    <t xml:space="preserve">I chose that amount, hoping player two will follow my lead.</t>
  </si>
  <si>
    <t xml:space="preserve">67745cfb4893225ef8d4bc4a</t>
  </si>
  <si>
    <t xml:space="preserve">I think this is a good amount to give</t>
  </si>
  <si>
    <t xml:space="preserve">6978cd800f810936788fb20d</t>
  </si>
  <si>
    <t xml:space="preserve">I would have done the same maybe so I understand. </t>
  </si>
  <si>
    <t xml:space="preserve">69d0465e1598de523b3ac0df</t>
  </si>
  <si>
    <t xml:space="preserve">Because it is a game, I wanted to play the disruptive part. </t>
  </si>
  <si>
    <t xml:space="preserve">668525b0e1eff8d40c686ec0</t>
  </si>
  <si>
    <t xml:space="preserve">it is equally distributed. I am satisfied </t>
  </si>
  <si>
    <t xml:space="preserve">671a9eb9f3da3f91a0535627</t>
  </si>
  <si>
    <t xml:space="preserve">I answered this question truthfully.  </t>
  </si>
  <si>
    <t xml:space="preserve">698a6685c945cda7a5aa4982</t>
  </si>
  <si>
    <t xml:space="preserve">equal at first logic</t>
  </si>
  <si>
    <t xml:space="preserve">694176f786e1175be6f35daa</t>
  </si>
  <si>
    <t xml:space="preserve">It was evenly split.</t>
  </si>
  <si>
    <t xml:space="preserve">6726772db37c626cce7dfcf6</t>
  </si>
  <si>
    <t xml:space="preserve">Because I don’t know whether to trust the other player</t>
  </si>
  <si>
    <t xml:space="preserve">69e2a0baa036ce188b8e2769</t>
  </si>
  <si>
    <t xml:space="preserve">i decide what we should keep or not to keep</t>
  </si>
  <si>
    <t xml:space="preserve">game</t>
  </si>
  <si>
    <t xml:space="preserve">reasons</t>
  </si>
  <si>
    <t xml:space="preserve">category</t>
  </si>
  <si>
    <t xml:space="preserve">dgkw</t>
  </si>
  <si>
    <t xml:space="preserve">As it was the chosen price</t>
  </si>
  <si>
    <t xml:space="preserve">No clear justification</t>
  </si>
  <si>
    <t xml:space="preserve">Default option</t>
  </si>
  <si>
    <t xml:space="preserve">TOTALE</t>
  </si>
  <si>
    <t xml:space="preserve">I dont know that I truly undetdatnd myself. But i think it seems like an appropriate amount</t>
  </si>
  <si>
    <t xml:space="preserve">DGKW | Reason for zero class / Behavior</t>
  </si>
  <si>
    <t xml:space="preserve">forced class</t>
  </si>
  <si>
    <t xml:space="preserve">I didn't really understand if -6 meant I was gaining more or less so i went for something in the middle</t>
  </si>
  <si>
    <t xml:space="preserve">I wanted to let this play out without any change to the price.</t>
  </si>
  <si>
    <t xml:space="preserve">I didn't want to change the price.</t>
  </si>
  <si>
    <t xml:space="preserve">Market interaction reasoning</t>
  </si>
  <si>
    <t xml:space="preserve">The instructions are overly complicated and I am not sure if I would benefit or not.</t>
  </si>
  <si>
    <t xml:space="preserve">Vague/Insufficient information</t>
  </si>
  <si>
    <t xml:space="preserve">For data that a computer produces there is no cost as such, the request will always be the same so I don't think data charges should increase much.</t>
  </si>
  <si>
    <t xml:space="preserve">Best</t>
  </si>
  <si>
    <t xml:space="preserve">TOT</t>
  </si>
  <si>
    <t xml:space="preserve">I have no idea. This study makes absolute zero sense and i am returning it.</t>
  </si>
  <si>
    <t xml:space="preserve">Random/Don't know</t>
  </si>
  <si>
    <t xml:space="preserve">Data is extremely valuable in this day and age. I chose this price as a middle ground as I think it ultimately depends on what the data is and who it is being sold to. If it is a independent research group, I'd price it lower but if it was data on consumer spending habits being sold to a big corporation like Amazon, I'd price it at 12$ or more.</t>
  </si>
  <si>
    <t xml:space="preserve">A price drop of $8 reminds me of when a business offers a noticeable discount to get your attention—like when a store significantly cuts the price on something to encourage people to sign up or make a purchase. It feels like a stronger incentive than a regular sale.</t>
  </si>
  <si>
    <t xml:space="preserve">TOTALE | Reason for zero class</t>
  </si>
  <si>
    <t xml:space="preserve">I have no idea why I picked that amount, this question makes no sense and I'm not sure what you are trying to achieve by asking it.</t>
  </si>
  <si>
    <t xml:space="preserve">Because why change what is there?</t>
  </si>
  <si>
    <t xml:space="preserve">DGKW | forced class</t>
  </si>
  <si>
    <t xml:space="preserve">I chose this price because it seemed like I had to change the price and not knowing how much data is worth or what the going rate is, I just reduced it by a small amount that I found reasonable.</t>
  </si>
  <si>
    <t xml:space="preserve">I did not find a need to change the price for any reason.</t>
  </si>
  <si>
    <t xml:space="preserve">i just thought it was a good starting point</t>
  </si>
  <si>
    <t xml:space="preserve">I would want extra information for me to reduce the price</t>
  </si>
  <si>
    <t xml:space="preserve">seemed as good as any choice</t>
  </si>
  <si>
    <t xml:space="preserve">i choose this price with not intention in perticular just mid range selection.</t>
  </si>
  <si>
    <t xml:space="preserve">i just feel like it was the most optimal decision</t>
  </si>
  <si>
    <t xml:space="preserve">To be honest I don't really understand which way the amount will go if I select a number so I've chosen 6 which is half of the 12 and I'll hope I've done it right</t>
  </si>
  <si>
    <t xml:space="preserve">I thought it was a realistic price drop</t>
  </si>
  <si>
    <t xml:space="preserve">This is the amount that I believe the work to be worth,</t>
  </si>
  <si>
    <t xml:space="preserve">I didnt change it because the service of the data seems like it would be doing fine. It doesnt need a discount at the moment because people are buying it.</t>
  </si>
  <si>
    <t xml:space="preserve">Because this price seemed like a reasonable amount to reduce considering the information given.</t>
  </si>
  <si>
    <t xml:space="preserve">as the data is worth the full asking price</t>
  </si>
  <si>
    <t xml:space="preserve">I believe my data is thoughtful and thinks outside of the box</t>
  </si>
  <si>
    <t xml:space="preserve">I shouldn't wave because i know the worth of the data</t>
  </si>
  <si>
    <t xml:space="preserve">I chose a decrease of $2 to make the price $10 simply because it is a more even number and easy to remember in terms of selling.</t>
  </si>
  <si>
    <t xml:space="preserve">based on my understanding and preference</t>
  </si>
  <si>
    <t xml:space="preserve">Unsure but i had to choose a price</t>
  </si>
  <si>
    <t xml:space="preserve">I just chose a random number that wasnt far off from the computed number</t>
  </si>
  <si>
    <t xml:space="preserve">I've no idea why I chose this price. Felt normal to negotiate roughly a 10% plus or minus difference.</t>
  </si>
  <si>
    <t xml:space="preserve">because to be perfectly honest with you, the instructions are completely unclear</t>
  </si>
  <si>
    <t xml:space="preserve">I decided to not decrease the amount</t>
  </si>
  <si>
    <t xml:space="preserve">Why would I change the price? Why are you using bold font?</t>
  </si>
  <si>
    <t xml:space="preserve">Its because I wanted to.</t>
  </si>
  <si>
    <t xml:space="preserve">I wanted to be a bit of a maverick and reduce the price by the most I could to surprise my partner.</t>
  </si>
  <si>
    <t xml:space="preserve">because even having read everything, i don not fully understand the task at hand, but i know that if i get selected my bonus will be $11</t>
  </si>
  <si>
    <t xml:space="preserve">I have no way to judge the value or the likely selling price so I trust the computer</t>
  </si>
  <si>
    <t xml:space="preserve">i try to make my best guess</t>
  </si>
  <si>
    <t xml:space="preserve">It didn't need to be decreased too much and feel like others would choose this too.</t>
  </si>
  <si>
    <t xml:space="preserve">I'm not sure, I wanted to decrease the price but not by much.</t>
  </si>
  <si>
    <t xml:space="preserve">Truthfully, with the amount of information I have, I am not sure I guessed.</t>
  </si>
  <si>
    <t xml:space="preserve">The reason why I chose this number is because I like the number 3. It tends to be a lucky number and my gut intuition said to pick it.</t>
  </si>
  <si>
    <t xml:space="preserve">I chose this because I have no information that tells me why I should make a price change.</t>
  </si>
  <si>
    <t xml:space="preserve">I have not a cluse just seemed like a fun figure</t>
  </si>
  <si>
    <t xml:space="preserve">I'm not entirely sure I understand the study, so went with a nomial chnage</t>
  </si>
  <si>
    <t xml:space="preserve">I think $12 is not much to pay for this product, I don't think it needs discounting.</t>
  </si>
  <si>
    <t xml:space="preserve">I charged this price because I am the original seller of the data whilst the broker is the middleman between myself and the client. This is likely how it would work in a real life scenario.</t>
  </si>
  <si>
    <t xml:space="preserve">I was a bit unsure on what to change the price but I decided to at least decrease it by a bit. I did not want it to stay the same because I feel like I had to do something and two was not too large of a change.</t>
  </si>
  <si>
    <t xml:space="preserve">I wasn't sure what i was meant to do.</t>
  </si>
  <si>
    <t xml:space="preserve">I do not see a compelling reason that I should change the price that the computer set, so I will follow its recommendation.</t>
  </si>
  <si>
    <t xml:space="preserve">I don't have any real reason for choosing the price it did, I just decided to go down the middle</t>
  </si>
  <si>
    <t xml:space="preserve">I chose to change by -2 as this would bring the price to a nice round number of £10</t>
  </si>
  <si>
    <t xml:space="preserve">10 dollars, if were using dollars, is a set price that reflects a set note of value that exists in dollars. It may be that someone has a 10 dollar bill, and would spend it on the product to pay the entire amount in one exchange, with no additional dollars or cents added. 10 is a good set number that is satisfying to the customer on a subluminal level.</t>
  </si>
  <si>
    <t xml:space="preserve">I think this makes the most sense to charge less but not too much less.</t>
  </si>
  <si>
    <t xml:space="preserve">Seems like a reasonable value to offer</t>
  </si>
  <si>
    <t xml:space="preserve">It takes it into single digits which may make it more appealing. It is a reasonable 25% reduction which is often seen in sale prices or voucher codes</t>
  </si>
  <si>
    <t xml:space="preserve">I believe that my partner may also choose this amount.</t>
  </si>
  <si>
    <t xml:space="preserve">$10 seems like a good even number</t>
  </si>
  <si>
    <t xml:space="preserve">I think the 12 dollar price is appropriate for the data that was given. I don't think it should be less.</t>
  </si>
  <si>
    <t xml:space="preserve">It seemed a reasonable choice under the circumstances of not really being able to decide a suitable amount.</t>
  </si>
  <si>
    <t xml:space="preserve">I just went with my intuition</t>
  </si>
  <si>
    <t xml:space="preserve">I did not want to change the price of this item to start</t>
  </si>
  <si>
    <t xml:space="preserve">Honestly, I don't fully understand what I'm doing here. It's hard to remember the details of the task, not because I have a poor memory, but because it's about financial processes and I'm really not familiar with these. I think it seemed to me like not decreasing the price means I'm more likely to get more money, but I may have calculated that completely wrong!</t>
  </si>
  <si>
    <t xml:space="preserve">I do not feel that the price needs to be changed</t>
  </si>
  <si>
    <t xml:space="preserve">i like the number 3 a lot and i think a small decrease would be helpful</t>
  </si>
  <si>
    <t xml:space="preserve">I thought this change was a strong recommendation and showed that my data is a good choice and quality entry</t>
  </si>
  <si>
    <t xml:space="preserve">It seemed like a resonable discount, also it is an even number and i hope my partner picks it</t>
  </si>
  <si>
    <t xml:space="preserve">I think that lowering the price to $10 would be better because $10 just seems like a better base price to round down to.</t>
  </si>
  <si>
    <t xml:space="preserve">tg</t>
  </si>
  <si>
    <t xml:space="preserve">Just seemed right? No particular reasoning.</t>
  </si>
  <si>
    <t xml:space="preserve">TG | Reason for zero class / Behavior</t>
  </si>
  <si>
    <t xml:space="preserve">$1 was the amount I decided based on a decision I made.</t>
  </si>
  <si>
    <t xml:space="preserve">This is base in the instruction as best option</t>
  </si>
  <si>
    <t xml:space="preserve">I honestly didn't think about it too much, I just went with my gut instinct.</t>
  </si>
  <si>
    <t xml:space="preserve">I just picked a number</t>
  </si>
  <si>
    <t xml:space="preserve">It was the amount in the example and it seemed like a good starting point.</t>
  </si>
  <si>
    <t xml:space="preserve">if assigned as the broker receive units of data from a dat provider you sell these to a specialized for units</t>
  </si>
  <si>
    <t xml:space="preserve">The broker is pointless</t>
  </si>
  <si>
    <t xml:space="preserve">broker will sell it to the research team and then he will know how much is mine and how much his will be</t>
  </si>
  <si>
    <t xml:space="preserve">No logic, just gut feeling</t>
  </si>
  <si>
    <t xml:space="preserve">Just seemed like the best choice to me</t>
  </si>
  <si>
    <t xml:space="preserve">TG | forced class</t>
  </si>
  <si>
    <t xml:space="preserve">I feel like 5 is a simple number to multiply and it's on the higher end of the scale</t>
  </si>
  <si>
    <t xml:space="preserve">Seems sensible to choose the midpoint.</t>
  </si>
  <si>
    <t xml:space="preserve">I wanted to see who will get with a non-split</t>
  </si>
  <si>
    <t xml:space="preserve">A higher amount makes things more interesting</t>
  </si>
  <si>
    <t xml:space="preserve">its my lucky number and its not a whole number</t>
  </si>
  <si>
    <t xml:space="preserve">broken the value for 1 time</t>
  </si>
  <si>
    <t xml:space="preserve">I wanted to send the full amount.</t>
  </si>
  <si>
    <t xml:space="preserve">I just thought it was the smartest choice</t>
  </si>
  <si>
    <t xml:space="preserve">I felt that this was the most accurate response</t>
  </si>
  <si>
    <t xml:space="preserve">I chose that amount because I guess it is the most suitable amount</t>
  </si>
  <si>
    <t xml:space="preserve">I wanted to send two thirds of what was available</t>
  </si>
  <si>
    <t xml:space="preserve">I'm not really sure what we're doing here. I understand the broker will receive 3x what I sent, but I'm not sure what the benefit is of keeping any data, so I chose I higher amount of data to send.</t>
  </si>
  <si>
    <t xml:space="preserve">To see the resolve and the other persons reaction.</t>
  </si>
  <si>
    <t xml:space="preserve">Because that is the amount the broker is willing to sell it for</t>
  </si>
  <si>
    <t xml:space="preserve">I feel like this is the best option available. I feel like as a broker I need to do what is necisary.</t>
  </si>
  <si>
    <t xml:space="preserve">I just went with my gut</t>
  </si>
  <si>
    <t xml:space="preserve">I just chose it, honestly.</t>
  </si>
  <si>
    <t xml:space="preserve">This seemed like a reasonable amount.</t>
  </si>
  <si>
    <t xml:space="preserve">No specific reason. I just decided to half it for both broker and the research team.</t>
  </si>
  <si>
    <t xml:space="preserve">I am actually totally confused by this cascade of data and chose a mid range because it is mid range...I have NO idea of the outcome for data peep or broker or researcher at this point</t>
  </si>
  <si>
    <t xml:space="preserve">If unsure, go for the middle option.</t>
  </si>
  <si>
    <t xml:space="preserve">It was a 1/3 of what I received.</t>
  </si>
  <si>
    <t xml:space="preserve">I chose $5 because it is a nice even number.</t>
  </si>
  <si>
    <t xml:space="preserve">It seemed like a good amount.</t>
  </si>
  <si>
    <t xml:space="preserve">Random amount. I just chose that amount and went with it. No particular reason.</t>
  </si>
  <si>
    <t xml:space="preserve">I honestly am a little confused, I read everything carefully, but am still not quite sure how this will affect the money that I receive... its clear to me the amount I send to the broker will be multiplied by three... but I am not clear if I am receiving that amount? Or only the amount sent to the researchers multiplied by one... I chose an amount in the middle as a result of this</t>
  </si>
  <si>
    <t xml:space="preserve">ug</t>
  </si>
  <si>
    <t xml:space="preserve">I preferred the number to be $10 instead of $12.</t>
  </si>
  <si>
    <t xml:space="preserve">UG | Reason for zero class / Behavior</t>
  </si>
  <si>
    <t xml:space="preserve">I didn't want to change the price</t>
  </si>
  <si>
    <t xml:space="preserve">I just didn't want to change the price. Just wanted to go with it.</t>
  </si>
  <si>
    <t xml:space="preserve">This seemed like the optimal price</t>
  </si>
  <si>
    <t xml:space="preserve">It was sort of random since I don't know what data is being sent. I just went with a flat $10.</t>
  </si>
  <si>
    <t xml:space="preserve">I have no reason to change the price from the standard set of $12</t>
  </si>
  <si>
    <t xml:space="preserve">i dont know. i dont know how much of a difference it would make if i changed it.</t>
  </si>
  <si>
    <t xml:space="preserve">I went with the computer suggestion</t>
  </si>
  <si>
    <t xml:space="preserve">I wanted to try changing the amount by a small amount this time.</t>
  </si>
  <si>
    <t xml:space="preserve">I feel that the price that was set by the computer is reasonable and there is no reason to change it.</t>
  </si>
  <si>
    <t xml:space="preserve">It was the amount used in the example so thought it would work out successfully</t>
  </si>
  <si>
    <t xml:space="preserve">UG | forced class</t>
  </si>
  <si>
    <t xml:space="preserve">I felt it was the right decision for the sale.</t>
  </si>
  <si>
    <t xml:space="preserve">Honestly I didn't see a reason to subtract the total so I went with what the computer listed</t>
  </si>
  <si>
    <t xml:space="preserve">I chose this because I felt it was the most reasonable.</t>
  </si>
  <si>
    <t xml:space="preserve">$10 as the price is not a bad amount and not too much or too small</t>
  </si>
  <si>
    <t xml:space="preserve">I think the $12.00 price is good.</t>
  </si>
  <si>
    <t xml:space="preserve">I want the price to remain at that.</t>
  </si>
  <si>
    <t xml:space="preserve">No need to change anything in my opinion</t>
  </si>
  <si>
    <t xml:space="preserve">I did not want to change the price amount. $12 seems good.</t>
  </si>
  <si>
    <t xml:space="preserve">it seems a good price</t>
  </si>
  <si>
    <t xml:space="preserve">I am slightly confused by how it works, but I understanding is that the broker is expecting to pay $12 so I just kept it at $12</t>
  </si>
  <si>
    <t xml:space="preserve">it was the price that the Computer suggested.</t>
  </si>
  <si>
    <t xml:space="preserve">I would like just guess and fix that answer</t>
  </si>
  <si>
    <t xml:space="preserve">-3 dollars didn't differ too much from the 12 but showed some lee way.</t>
  </si>
  <si>
    <t xml:space="preserve">I meant to select $10. I hit $12 because I forgot how much the broker can sell it for.</t>
  </si>
  <si>
    <t xml:space="preserve">I will get $8, and the broker will get the $12 minus the 8? Tbh maybe I should have gone for 6...</t>
  </si>
  <si>
    <t xml:space="preserve">Not too little not too much</t>
  </si>
  <si>
    <t xml:space="preserve">I just decided to offer a slight discount, to see what the sensitivity of the broker would be in this exercise.</t>
  </si>
  <si>
    <t xml:space="preserve">I wanted to chose a price that the person I was matched with would like</t>
  </si>
  <si>
    <t xml:space="preserve">I am happy to go with what the computer has decided</t>
  </si>
  <si>
    <t xml:space="preserve">A ten dollar bill is more convince and cheaper than 12 dollars.</t>
  </si>
  <si>
    <t xml:space="preserve">Honestly, it was just a guess.</t>
  </si>
  <si>
    <t xml:space="preserve">I figured it was a good starting point</t>
  </si>
  <si>
    <t xml:space="preserve">It was the most logical answer.</t>
  </si>
  <si>
    <t xml:space="preserve">I want to keep the price as it is, do not change it.</t>
  </si>
  <si>
    <t xml:space="preserve">I chose this proposal because it was an interesting person to person study to participate in.</t>
  </si>
  <si>
    <t xml:space="preserve">I thought 10 would be a good starting figure.</t>
  </si>
  <si>
    <t xml:space="preserve">Just getting a feel for the game to start</t>
  </si>
  <si>
    <t xml:space="preserve">I always go for somewhere in the middle</t>
  </si>
  <si>
    <t xml:space="preserve">I found the computers starting price is acceptable, hopefully to negotiations.</t>
  </si>
  <si>
    <t xml:space="preserve">i followed my intuition of the middle price.</t>
  </si>
  <si>
    <t xml:space="preserve">A bit off, but not much.</t>
  </si>
  <si>
    <t xml:space="preserve">I think this would be the best option for the outcome</t>
  </si>
  <si>
    <t xml:space="preserve">I chose this because at first i wanted to put $12 but then I thought reduce by $1.50 and now I wish I had stayed at .</t>
  </si>
  <si>
    <t xml:space="preserve">I wanted to go with the recommended one.</t>
  </si>
  <si>
    <t xml:space="preserve">I decided to go around the middle and hope for the best.</t>
  </si>
  <si>
    <t xml:space="preserve">I do not understand it. I had to choose something the instructions were complicated. It is not clear which way may earn money--lower or higher. I think I should have reduced it more, but I am not sure.</t>
  </si>
  <si>
    <t xml:space="preserve">Because it was the average.</t>
  </si>
  <si>
    <t xml:space="preserve">The price was set and fixed for the payout and requires the broker to accept.</t>
  </si>
  <si>
    <t xml:space="preserve">It was difficult to know if I was offering a high price or a low one. The slide bar is confusing</t>
  </si>
  <si>
    <t xml:space="preserve">To see what would happen if I reduced the price.</t>
  </si>
  <si>
    <t xml:space="preserve">That is the realistic price I would consider for the computer in the provided limits as it's a bit central</t>
  </si>
  <si>
    <t xml:space="preserve">The computer set the price at 12, so that seemed good.</t>
  </si>
  <si>
    <t xml:space="preserve">That is the price that was first chosen to be correct, so I am going with the proposed amount.</t>
  </si>
  <si>
    <t xml:space="preserve">I want to see what happens if I choose $0. I'm convinced the broker is trying to read my mind.</t>
  </si>
  <si>
    <t xml:space="preserve">I believe that the initial sales price is a good starting point as I currently do not have any other information such as sales history.</t>
  </si>
  <si>
    <t xml:space="preserve">i didn;t want to change the price by very much</t>
  </si>
  <si>
    <t xml:space="preserve">I'm sorry, I did not fully understand what was happening and chose what I thought might be good by guessing.</t>
  </si>
  <si>
    <t xml:space="preserve">I just wanted to change the price a little bit. Just to test the broker really.</t>
  </si>
  <si>
    <t xml:space="preserve">£10 looked reasonable</t>
  </si>
  <si>
    <t xml:space="preserve">I chose as a test the full amount to see what happened</t>
  </si>
  <si>
    <t xml:space="preserve">I felt it would be good to reduce the price and 10 seemed like a good even number that still was a good price</t>
  </si>
  <si>
    <t xml:space="preserve">I feel like it's a good in between option that holds value.</t>
  </si>
  <si>
    <t xml:space="preserve">I believe that $9 is the proper value</t>
  </si>
  <si>
    <t xml:space="preserve">I wanted to see where the other party stands.</t>
  </si>
  <si>
    <t xml:space="preserve">I went with the recommended set price and will not change that until the market says otherwise.</t>
  </si>
  <si>
    <t xml:space="preserve">To be perfectly honest the number 10 was more appealing than the number 12. You did ask that I be truthful and careful, as I just did.</t>
  </si>
  <si>
    <t xml:space="preserve">Because I feel the computer's price choice is fine with me.</t>
  </si>
  <si>
    <t xml:space="preserve">I think that the broker would be very willing to accept a price that is 1/2 of what is expected.</t>
  </si>
  <si>
    <t xml:space="preserve">I wanted to keep it at that amount</t>
  </si>
  <si>
    <t xml:space="preserve">I decided to lower the price by 1.00 to see what the other participant will chose because I am curious which amount is acceptable to them</t>
  </si>
  <si>
    <t xml:space="preserve">Because I figured to just spend the whole thing, I was a little confused by the instructions to be completely honest, so I went with my gut of just sending the whole amount.</t>
  </si>
  <si>
    <t xml:space="preserve">It was a random decision because at the start of this process there is nothing else to compare it with.</t>
  </si>
  <si>
    <t xml:space="preserve">I thought that close to $12 minus .5 seemed like a reasonable amount for the thing.</t>
  </si>
  <si>
    <t xml:space="preserve">It seems like a nice round number and in a vague situation like this round numbers usually work.</t>
  </si>
  <si>
    <t xml:space="preserve">I proposed this because it is a bit less than $12, but not too much less. I felt like it was a decent amount.</t>
  </si>
  <si>
    <t xml:space="preserve">I just wanted it to be slightly lower</t>
  </si>
  <si>
    <t xml:space="preserve">I went with the computer price</t>
  </si>
  <si>
    <t xml:space="preserve">not sure reallty, know nothung about brokers.</t>
  </si>
  <si>
    <t xml:space="preserve">As a data provider I set the price. And computer has set the intial price</t>
  </si>
  <si>
    <t xml:space="preserve">I am not quite sure.</t>
  </si>
  <si>
    <t xml:space="preserve">im sure what the other person choose i felt like it by be reasonable price</t>
  </si>
  <si>
    <t xml:space="preserve">I do not actually fully understand the scenario and how it works. It is worded weird and I am not smart. I just picked a number and lowered the initial price.</t>
  </si>
  <si>
    <t xml:space="preserve">-3 seemed like a reasonable reduction in the circumstances</t>
  </si>
  <si>
    <t xml:space="preserve">In in situation where I am unfamiliar, I feel it may be best to go with a recommendation.</t>
  </si>
  <si>
    <t xml:space="preserve">I chose 12 because the broker has a fixed price of 12 that he is willing to sell, and the price is already set to 12.</t>
  </si>
  <si>
    <t xml:space="preserve">I'm actually not too sure why I choose it. I guess I wanted the lest impact.</t>
  </si>
  <si>
    <t xml:space="preserve">i thought it was the best result</t>
  </si>
  <si>
    <t xml:space="preserve">This price is reasonable</t>
  </si>
  <si>
    <t xml:space="preserve">I chose the proposal because I like the price and I it is very good.</t>
  </si>
  <si>
    <t xml:space="preserve">Just felt right and thus that's what i did</t>
  </si>
  <si>
    <t xml:space="preserve">I selected a positive value</t>
  </si>
  <si>
    <t xml:space="preserve">It felt somewhat arbitrary.</t>
  </si>
  <si>
    <t xml:space="preserve">I guess it just seems reasonable to try to reduce the price at least a little, I don't have a good rationale for the exact number I chose.</t>
  </si>
  <si>
    <t xml:space="preserve">Just what i would do.</t>
  </si>
  <si>
    <t xml:space="preserve">If I understand correctly, if I choose $6 as the price, that means both I and the broker will receive the same earning? To sell for $6 I have to reduce the price by $6.</t>
  </si>
  <si>
    <t xml:space="preserve">Selected a price between -12 and 0</t>
  </si>
  <si>
    <t xml:space="preserve">I want to see how the broker reacts.</t>
  </si>
  <si>
    <t xml:space="preserve">Player1_market</t>
  </si>
  <si>
    <t xml:space="preserve">Player1_control</t>
  </si>
  <si>
    <t xml:space="preserve">Diff. (mkt – control)</t>
  </si>
  <si>
    <t xml:space="preserve">Player2_control</t>
  </si>
  <si>
    <t xml:space="preserve">player1_control</t>
  </si>
  <si>
    <t xml:space="preserve">player2_control</t>
  </si>
  <si>
    <t xml:space="preserve">Diff. (player 1 – player 2)</t>
  </si>
  <si>
    <t xml:space="preserve">player1_market</t>
  </si>
  <si>
    <t xml:space="preserve">Vague/Insufficient information + Random</t>
  </si>
  <si>
    <t xml:space="preserve">Underlying motive</t>
  </si>
  <si>
    <t xml:space="preserve">Viability / Reasonable amount</t>
  </si>
  <si>
    <t xml:space="preserve">Market valuation / pricing logic</t>
  </si>
  <si>
    <t xml:space="preserve">Exploration / roles-based logic</t>
  </si>
  <si>
    <t xml:space="preserve">Productive cooperation / surplus creation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</si>
</sst>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theme="1"/>
      <name val="Cambria"/>
      <family val="0"/>
    </font>
    <font>
      <b val="true"/>
      <sz val="10"/>
      <color theme="1"/>
      <name val="Cambria"/>
      <family val="0"/>
      <charset val="1"/>
    </font>
    <font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theme="1"/>
      <name val="Calibri"/>
      <family val="2"/>
    </font>
    <font>
      <sz val="11"/>
      <color rgb="FFC9211E"/>
      <name val="Calibri"/>
      <family val="2"/>
      <charset val="1"/>
    </font>
    <font>
      <sz val="11"/>
      <color rgb="FFC9211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33" activeCellId="0" sqref="C33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71"/>
    <col collapsed="false" customWidth="true" hidden="false" outlineLevel="0" max="4" min="4" style="0" width="26.88"/>
    <col collapsed="false" customWidth="true" hidden="false" outlineLevel="0" max="7" min="7" style="0" width="28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2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0</v>
      </c>
      <c r="D3" s="0" t="s">
        <v>9</v>
      </c>
      <c r="G3" s="4" t="s">
        <v>2</v>
      </c>
      <c r="H3" s="5" t="s">
        <v>10</v>
      </c>
      <c r="I3" s="6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n">
        <v>0</v>
      </c>
      <c r="D4" s="0" t="s">
        <v>9</v>
      </c>
      <c r="G4" s="4" t="n">
        <v>0</v>
      </c>
      <c r="H4" s="5" t="n">
        <f aca="false">COUNTIF(C$2:C$50,"=0")</f>
        <v>8</v>
      </c>
      <c r="I4" s="7" t="n">
        <f aca="false">H4/H$8</f>
        <v>0.163265306122449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0</v>
      </c>
      <c r="D5" s="0" t="s">
        <v>6</v>
      </c>
      <c r="G5" s="8" t="n">
        <v>1</v>
      </c>
      <c r="H5" s="9" t="n">
        <f aca="false">COUNTIF(C$2:C$50,"=1")</f>
        <v>7</v>
      </c>
      <c r="I5" s="10" t="n">
        <f aca="false">H5/H$8</f>
        <v>0.142857142857143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2</v>
      </c>
      <c r="D6" s="0" t="s">
        <v>18</v>
      </c>
      <c r="G6" s="8" t="n">
        <v>2</v>
      </c>
      <c r="H6" s="9" t="n">
        <f aca="false">COUNTIF(C$2:C$50,"=2")</f>
        <v>8</v>
      </c>
      <c r="I6" s="10" t="n">
        <f aca="false">H6/H$8</f>
        <v>0.163265306122449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n">
        <v>3</v>
      </c>
      <c r="D7" s="0" t="s">
        <v>21</v>
      </c>
      <c r="G7" s="11" t="n">
        <v>3</v>
      </c>
      <c r="H7" s="12" t="n">
        <f aca="false">COUNTIF(C$2:C$50,"=3")</f>
        <v>26</v>
      </c>
      <c r="I7" s="13" t="n">
        <f aca="false">H7/H$8</f>
        <v>0.530612244897959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v>3</v>
      </c>
      <c r="D8" s="0" t="s">
        <v>24</v>
      </c>
      <c r="G8" s="14" t="s">
        <v>25</v>
      </c>
      <c r="H8" s="12" t="n">
        <f aca="false">SUM(H4:H7)</f>
        <v>49</v>
      </c>
      <c r="I8" s="15" t="n">
        <f aca="false">SUM(I4:I7)</f>
        <v>1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n">
        <v>3</v>
      </c>
      <c r="D9" s="0" t="s">
        <v>21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n">
        <v>3</v>
      </c>
      <c r="D10" s="0" t="s">
        <v>24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n">
        <v>3</v>
      </c>
      <c r="D11" s="0" t="s">
        <v>24</v>
      </c>
      <c r="G11" s="4" t="s">
        <v>3</v>
      </c>
      <c r="H11" s="5" t="s">
        <v>10</v>
      </c>
      <c r="I11" s="6" t="s">
        <v>11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n">
        <v>3</v>
      </c>
      <c r="D12" s="0" t="s">
        <v>24</v>
      </c>
      <c r="G12" s="4" t="s">
        <v>24</v>
      </c>
      <c r="H12" s="5" t="n">
        <f aca="false">COUNTIF(D$2:D$50,"=Status quo / default option")</f>
        <v>8</v>
      </c>
      <c r="I12" s="7" t="n">
        <f aca="false">H12/H$18</f>
        <v>0.163265306122449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n">
        <v>3</v>
      </c>
      <c r="D13" s="0" t="s">
        <v>24</v>
      </c>
      <c r="G13" s="8" t="s">
        <v>9</v>
      </c>
      <c r="H13" s="9" t="n">
        <f aca="false">COUNTIF(D$2:D$50,"=Vague / Insufficient information / Random")</f>
        <v>9</v>
      </c>
      <c r="I13" s="10" t="n">
        <f aca="false">H13/H$18</f>
        <v>0.183673469387755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n">
        <v>0</v>
      </c>
      <c r="D14" s="0" t="s">
        <v>9</v>
      </c>
      <c r="G14" s="8" t="s">
        <v>18</v>
      </c>
      <c r="H14" s="9" t="n">
        <f aca="false">COUNTIF(D$2:D$50,"=Strategic interaction")</f>
        <v>4</v>
      </c>
      <c r="I14" s="10" t="n">
        <f aca="false">H14/H$18</f>
        <v>0.0816326530612245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n">
        <v>3</v>
      </c>
      <c r="D15" s="0" t="s">
        <v>24</v>
      </c>
      <c r="G15" s="8" t="s">
        <v>21</v>
      </c>
      <c r="H15" s="16" t="n">
        <f aca="false">COUNTIF(D$2:D$50,"=Misunderstood the game")</f>
        <v>2</v>
      </c>
      <c r="I15" s="10" t="n">
        <f aca="false">H15/H$18</f>
        <v>0.0408163265306122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n">
        <v>3</v>
      </c>
      <c r="D16" s="0" t="s">
        <v>24</v>
      </c>
      <c r="G16" s="8" t="s">
        <v>6</v>
      </c>
      <c r="H16" s="16" t="n">
        <f aca="false">COUNTIF(D$2:D$50,"=Viability / heuristic")</f>
        <v>18</v>
      </c>
      <c r="I16" s="10" t="n">
        <f aca="false">H16/H$18</f>
        <v>0.36734693877551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n">
        <v>2</v>
      </c>
      <c r="D17" s="0" t="s">
        <v>6</v>
      </c>
      <c r="G17" s="11" t="s">
        <v>44</v>
      </c>
      <c r="H17" s="12" t="n">
        <f aca="false">COUNTIF(D$2:D$50,"=Equality / Reciprocity / Sharing")</f>
        <v>8</v>
      </c>
      <c r="I17" s="13" t="n">
        <f aca="false">H17/H$18</f>
        <v>0.163265306122449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n">
        <v>1</v>
      </c>
      <c r="D18" s="0" t="s">
        <v>44</v>
      </c>
      <c r="G18" s="17" t="s">
        <v>25</v>
      </c>
      <c r="H18" s="18" t="n">
        <f aca="false">SUM(H12:H17)</f>
        <v>49</v>
      </c>
      <c r="I18" s="19" t="n">
        <f aca="false">SUM(I12:I17)</f>
        <v>1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n">
        <v>2</v>
      </c>
      <c r="D19" s="0" t="s">
        <v>6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n">
        <v>2</v>
      </c>
      <c r="D20" s="0" t="s">
        <v>6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0" t="n">
        <v>1</v>
      </c>
      <c r="D21" s="0" t="s">
        <v>44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0" t="n">
        <v>2</v>
      </c>
      <c r="D22" s="0" t="s">
        <v>18</v>
      </c>
    </row>
    <row r="23" customFormat="false" ht="15" hidden="false" customHeight="false" outlineLevel="0" collapsed="false">
      <c r="A23" s="0" t="s">
        <v>55</v>
      </c>
      <c r="B23" s="0" t="s">
        <v>56</v>
      </c>
      <c r="C23" s="0" t="n">
        <v>1</v>
      </c>
      <c r="D23" s="0" t="s">
        <v>44</v>
      </c>
    </row>
    <row r="24" customFormat="false" ht="15" hidden="false" customHeight="false" outlineLevel="0" collapsed="false">
      <c r="A24" s="0" t="s">
        <v>57</v>
      </c>
      <c r="B24" s="0" t="s">
        <v>58</v>
      </c>
      <c r="C24" s="0" t="n">
        <v>3</v>
      </c>
      <c r="D24" s="0" t="s">
        <v>6</v>
      </c>
    </row>
    <row r="25" customFormat="false" ht="15" hidden="false" customHeight="false" outlineLevel="0" collapsed="false">
      <c r="A25" s="0" t="s">
        <v>59</v>
      </c>
      <c r="B25" s="0" t="s">
        <v>60</v>
      </c>
      <c r="C25" s="0" t="n">
        <v>3</v>
      </c>
      <c r="D25" s="0" t="s">
        <v>18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n">
        <v>3</v>
      </c>
      <c r="D26" s="0" t="s">
        <v>6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n">
        <v>1</v>
      </c>
      <c r="D27" s="0" t="s">
        <v>6</v>
      </c>
    </row>
    <row r="28" customFormat="false" ht="15" hidden="false" customHeight="false" outlineLevel="0" collapsed="false">
      <c r="A28" s="0" t="s">
        <v>65</v>
      </c>
      <c r="B28" s="0" t="s">
        <v>66</v>
      </c>
      <c r="C28" s="0" t="n">
        <v>3</v>
      </c>
      <c r="D28" s="0" t="s">
        <v>6</v>
      </c>
    </row>
    <row r="29" customFormat="false" ht="15" hidden="false" customHeight="false" outlineLevel="0" collapsed="false">
      <c r="A29" s="0" t="s">
        <v>67</v>
      </c>
      <c r="B29" s="0" t="s">
        <v>68</v>
      </c>
      <c r="C29" s="0" t="n">
        <v>1</v>
      </c>
      <c r="D29" s="0" t="s">
        <v>44</v>
      </c>
    </row>
    <row r="30" customFormat="false" ht="15" hidden="false" customHeight="false" outlineLevel="0" collapsed="false">
      <c r="A30" s="0" t="s">
        <v>69</v>
      </c>
      <c r="B30" s="0" t="s">
        <v>70</v>
      </c>
      <c r="C30" s="0" t="n">
        <v>1</v>
      </c>
      <c r="D30" s="0" t="s">
        <v>44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n">
        <v>0</v>
      </c>
      <c r="D31" s="0" t="s">
        <v>9</v>
      </c>
    </row>
    <row r="32" customFormat="false" ht="15" hidden="false" customHeight="false" outlineLevel="0" collapsed="false">
      <c r="A32" s="0" t="s">
        <v>73</v>
      </c>
      <c r="B32" s="0" t="s">
        <v>74</v>
      </c>
      <c r="C32" s="0" t="n">
        <v>3</v>
      </c>
      <c r="D32" s="0" t="s">
        <v>6</v>
      </c>
    </row>
    <row r="33" customFormat="false" ht="15" hidden="false" customHeight="false" outlineLevel="0" collapsed="false">
      <c r="A33" s="0" t="s">
        <v>75</v>
      </c>
      <c r="B33" s="0" t="s">
        <v>76</v>
      </c>
      <c r="C33" s="0" t="n">
        <v>2</v>
      </c>
      <c r="D33" s="0" t="s">
        <v>18</v>
      </c>
    </row>
    <row r="34" customFormat="false" ht="15" hidden="false" customHeight="false" outlineLevel="0" collapsed="false">
      <c r="A34" s="0" t="s">
        <v>77</v>
      </c>
      <c r="B34" s="0" t="s">
        <v>78</v>
      </c>
      <c r="C34" s="0" t="n">
        <v>3</v>
      </c>
      <c r="D34" s="0" t="s">
        <v>6</v>
      </c>
    </row>
    <row r="35" customFormat="false" ht="15" hidden="false" customHeight="false" outlineLevel="0" collapsed="false">
      <c r="A35" s="0" t="s">
        <v>79</v>
      </c>
      <c r="B35" s="0" t="s">
        <v>80</v>
      </c>
      <c r="C35" s="0" t="n">
        <v>3</v>
      </c>
      <c r="D35" s="0" t="s">
        <v>6</v>
      </c>
    </row>
    <row r="36" customFormat="false" ht="15" hidden="false" customHeight="false" outlineLevel="0" collapsed="false">
      <c r="A36" s="0" t="s">
        <v>81</v>
      </c>
      <c r="B36" s="0" t="s">
        <v>82</v>
      </c>
      <c r="C36" s="0" t="n">
        <v>3</v>
      </c>
      <c r="D36" s="0" t="s">
        <v>6</v>
      </c>
    </row>
    <row r="37" customFormat="false" ht="15" hidden="false" customHeight="false" outlineLevel="0" collapsed="false">
      <c r="A37" s="0" t="s">
        <v>83</v>
      </c>
      <c r="B37" s="0" t="s">
        <v>84</v>
      </c>
      <c r="C37" s="0" t="n">
        <v>3</v>
      </c>
      <c r="D37" s="0" t="s">
        <v>6</v>
      </c>
    </row>
    <row r="38" customFormat="false" ht="15" hidden="false" customHeight="false" outlineLevel="0" collapsed="false">
      <c r="A38" s="0" t="s">
        <v>85</v>
      </c>
      <c r="B38" s="0" t="s">
        <v>86</v>
      </c>
      <c r="C38" s="0" t="n">
        <v>3</v>
      </c>
      <c r="D38" s="0" t="s">
        <v>6</v>
      </c>
    </row>
    <row r="39" customFormat="false" ht="15" hidden="false" customHeight="false" outlineLevel="0" collapsed="false">
      <c r="A39" s="0" t="s">
        <v>87</v>
      </c>
      <c r="B39" s="0" t="s">
        <v>88</v>
      </c>
      <c r="C39" s="0" t="n">
        <v>0</v>
      </c>
      <c r="D39" s="0" t="s">
        <v>6</v>
      </c>
    </row>
    <row r="40" customFormat="false" ht="15" hidden="false" customHeight="false" outlineLevel="0" collapsed="false">
      <c r="A40" s="0" t="s">
        <v>89</v>
      </c>
      <c r="B40" s="0" t="s">
        <v>90</v>
      </c>
      <c r="C40" s="0" t="n">
        <v>3</v>
      </c>
      <c r="D40" s="0" t="s">
        <v>24</v>
      </c>
    </row>
    <row r="41" customFormat="false" ht="15" hidden="false" customHeight="false" outlineLevel="0" collapsed="false">
      <c r="A41" s="0" t="s">
        <v>91</v>
      </c>
      <c r="B41" s="0" t="s">
        <v>92</v>
      </c>
      <c r="C41" s="0" t="n">
        <v>3</v>
      </c>
      <c r="D41" s="0" t="s">
        <v>9</v>
      </c>
    </row>
    <row r="42" customFormat="false" ht="15" hidden="false" customHeight="false" outlineLevel="0" collapsed="false">
      <c r="A42" s="0" t="s">
        <v>93</v>
      </c>
      <c r="B42" s="0" t="s">
        <v>94</v>
      </c>
      <c r="C42" s="0" t="n">
        <v>3</v>
      </c>
      <c r="D42" s="0" t="s">
        <v>6</v>
      </c>
    </row>
    <row r="43" customFormat="false" ht="15" hidden="false" customHeight="false" outlineLevel="0" collapsed="false">
      <c r="A43" s="0" t="s">
        <v>95</v>
      </c>
      <c r="B43" s="0" t="s">
        <v>96</v>
      </c>
      <c r="C43" s="0" t="n">
        <v>0</v>
      </c>
      <c r="D43" s="0" t="s">
        <v>9</v>
      </c>
    </row>
    <row r="44" customFormat="false" ht="15" hidden="false" customHeight="false" outlineLevel="0" collapsed="false">
      <c r="A44" s="0" t="s">
        <v>97</v>
      </c>
      <c r="B44" s="0" t="s">
        <v>98</v>
      </c>
      <c r="C44" s="0" t="n">
        <v>3</v>
      </c>
      <c r="D44" s="0" t="s">
        <v>44</v>
      </c>
    </row>
    <row r="45" customFormat="false" ht="15" hidden="false" customHeight="false" outlineLevel="0" collapsed="false">
      <c r="A45" s="0" t="s">
        <v>99</v>
      </c>
      <c r="B45" s="0" t="s">
        <v>100</v>
      </c>
      <c r="C45" s="0" t="n">
        <v>1</v>
      </c>
      <c r="D45" s="0" t="s">
        <v>44</v>
      </c>
    </row>
    <row r="46" customFormat="false" ht="15" hidden="false" customHeight="false" outlineLevel="0" collapsed="false">
      <c r="A46" s="0" t="s">
        <v>101</v>
      </c>
      <c r="B46" s="0" t="s">
        <v>102</v>
      </c>
      <c r="C46" s="0" t="n">
        <v>3</v>
      </c>
      <c r="D46" s="0" t="s">
        <v>9</v>
      </c>
    </row>
    <row r="47" customFormat="false" ht="15" hidden="false" customHeight="false" outlineLevel="0" collapsed="false">
      <c r="A47" s="0" t="s">
        <v>103</v>
      </c>
      <c r="B47" s="0" t="s">
        <v>104</v>
      </c>
      <c r="C47" s="0" t="n">
        <v>3</v>
      </c>
      <c r="D47" s="0" t="s">
        <v>9</v>
      </c>
    </row>
    <row r="48" customFormat="false" ht="15" hidden="false" customHeight="false" outlineLevel="0" collapsed="false">
      <c r="A48" s="0" t="s">
        <v>105</v>
      </c>
      <c r="B48" s="0" t="s">
        <v>106</v>
      </c>
      <c r="C48" s="0" t="n">
        <v>2</v>
      </c>
      <c r="D48" s="0" t="s">
        <v>44</v>
      </c>
    </row>
    <row r="49" customFormat="false" ht="15" hidden="false" customHeight="false" outlineLevel="0" collapsed="false">
      <c r="A49" s="0" t="s">
        <v>107</v>
      </c>
      <c r="B49" s="0" t="s">
        <v>108</v>
      </c>
      <c r="C49" s="0" t="n">
        <v>3</v>
      </c>
      <c r="D49" s="0" t="s">
        <v>6</v>
      </c>
    </row>
    <row r="50" customFormat="false" ht="15" hidden="false" customHeight="false" outlineLevel="0" collapsed="false">
      <c r="A50" s="0" t="s">
        <v>109</v>
      </c>
      <c r="B50" s="0" t="s">
        <v>110</v>
      </c>
      <c r="C50" s="0" t="n">
        <v>0</v>
      </c>
      <c r="D5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5"/>
    <col collapsed="false" customWidth="true" hidden="false" outlineLevel="0" max="4" min="4" style="0" width="28.35"/>
    <col collapsed="false" customWidth="true" hidden="false" outlineLevel="0" max="7" min="7" style="0" width="28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111</v>
      </c>
      <c r="D1" s="3" t="s">
        <v>3</v>
      </c>
    </row>
    <row r="2" customFormat="false" ht="15" hidden="false" customHeight="false" outlineLevel="0" collapsed="false">
      <c r="A2" s="0" t="s">
        <v>112</v>
      </c>
      <c r="B2" s="0" t="s">
        <v>113</v>
      </c>
      <c r="C2" s="0" t="n">
        <v>1</v>
      </c>
      <c r="D2" s="0" t="s">
        <v>44</v>
      </c>
    </row>
    <row r="3" customFormat="false" ht="15" hidden="false" customHeight="false" outlineLevel="0" collapsed="false">
      <c r="A3" s="0" t="s">
        <v>114</v>
      </c>
      <c r="B3" s="0" t="s">
        <v>115</v>
      </c>
      <c r="C3" s="0" t="n">
        <v>3</v>
      </c>
      <c r="D3" s="0" t="s">
        <v>18</v>
      </c>
      <c r="G3" s="4"/>
      <c r="H3" s="5" t="s">
        <v>10</v>
      </c>
      <c r="I3" s="6" t="s">
        <v>11</v>
      </c>
    </row>
    <row r="4" customFormat="false" ht="15" hidden="false" customHeight="false" outlineLevel="0" collapsed="false">
      <c r="A4" s="0" t="s">
        <v>116</v>
      </c>
      <c r="B4" s="0" t="s">
        <v>117</v>
      </c>
      <c r="C4" s="0" t="n">
        <v>3</v>
      </c>
      <c r="D4" s="0" t="s">
        <v>44</v>
      </c>
      <c r="G4" s="4" t="n">
        <v>0</v>
      </c>
      <c r="H4" s="5" t="n">
        <f aca="false">COUNTIF(C$2:C$31,"=0")</f>
        <v>5</v>
      </c>
      <c r="I4" s="7" t="n">
        <f aca="false">H4/H$9</f>
        <v>0.178571428571429</v>
      </c>
    </row>
    <row r="5" customFormat="false" ht="15" hidden="false" customHeight="false" outlineLevel="0" collapsed="false">
      <c r="A5" s="0" t="s">
        <v>118</v>
      </c>
      <c r="B5" s="0" t="s">
        <v>119</v>
      </c>
      <c r="C5" s="0" t="n">
        <v>4</v>
      </c>
      <c r="D5" s="0" t="s">
        <v>6</v>
      </c>
      <c r="G5" s="8" t="n">
        <v>1</v>
      </c>
      <c r="H5" s="0" t="n">
        <f aca="false">COUNTIF(C$2:C$31,"=1")</f>
        <v>8</v>
      </c>
      <c r="I5" s="10" t="n">
        <f aca="false">H5/H$9</f>
        <v>0.285714285714286</v>
      </c>
    </row>
    <row r="6" customFormat="false" ht="15" hidden="false" customHeight="false" outlineLevel="0" collapsed="false">
      <c r="A6" s="0" t="s">
        <v>120</v>
      </c>
      <c r="B6" s="0" t="s">
        <v>121</v>
      </c>
      <c r="C6" s="0" t="n">
        <v>3</v>
      </c>
      <c r="D6" s="0" t="s">
        <v>44</v>
      </c>
      <c r="G6" s="8" t="n">
        <v>2</v>
      </c>
      <c r="H6" s="0" t="n">
        <f aca="false">COUNTIF(C$2:C$31,"=2")</f>
        <v>1</v>
      </c>
      <c r="I6" s="10" t="n">
        <f aca="false">H6/H$9</f>
        <v>0.0357142857142857</v>
      </c>
    </row>
    <row r="7" customFormat="false" ht="15" hidden="false" customHeight="false" outlineLevel="0" collapsed="false">
      <c r="A7" s="0" t="s">
        <v>122</v>
      </c>
      <c r="B7" s="0" t="s">
        <v>123</v>
      </c>
      <c r="C7" s="0" t="n">
        <v>0</v>
      </c>
      <c r="D7" s="0" t="s">
        <v>9</v>
      </c>
      <c r="G7" s="8" t="n">
        <v>3</v>
      </c>
      <c r="H7" s="16" t="n">
        <f aca="false">COUNTIF(C$2:C$31,"=3")</f>
        <v>8</v>
      </c>
      <c r="I7" s="10" t="n">
        <f aca="false">H7/H$9</f>
        <v>0.285714285714286</v>
      </c>
    </row>
    <row r="8" customFormat="false" ht="15" hidden="false" customHeight="false" outlineLevel="0" collapsed="false">
      <c r="A8" s="0" t="s">
        <v>124</v>
      </c>
      <c r="B8" s="0" t="s">
        <v>125</v>
      </c>
      <c r="C8" s="0" t="n">
        <v>1</v>
      </c>
      <c r="D8" s="0" t="s">
        <v>44</v>
      </c>
      <c r="G8" s="11" t="n">
        <v>4</v>
      </c>
      <c r="H8" s="12" t="n">
        <f aca="false">COUNTIF(C$2:C$31,"=4")</f>
        <v>6</v>
      </c>
      <c r="I8" s="10" t="n">
        <f aca="false">H8/H$9</f>
        <v>0.214285714285714</v>
      </c>
    </row>
    <row r="9" customFormat="false" ht="15" hidden="false" customHeight="false" outlineLevel="0" collapsed="false">
      <c r="A9" s="0" t="s">
        <v>126</v>
      </c>
      <c r="B9" s="0" t="s">
        <v>127</v>
      </c>
      <c r="C9" s="0" t="n">
        <v>2</v>
      </c>
      <c r="D9" s="0" t="s">
        <v>44</v>
      </c>
      <c r="G9" s="14" t="s">
        <v>25</v>
      </c>
      <c r="H9" s="12" t="n">
        <f aca="false">SUM(H4:H8)</f>
        <v>28</v>
      </c>
      <c r="I9" s="15" t="n">
        <f aca="false">SUM(I4:I8)</f>
        <v>1</v>
      </c>
    </row>
    <row r="10" customFormat="false" ht="15" hidden="false" customHeight="false" outlineLevel="0" collapsed="false">
      <c r="A10" s="0" t="s">
        <v>128</v>
      </c>
      <c r="B10" s="0" t="s">
        <v>129</v>
      </c>
      <c r="C10" s="0" t="n">
        <v>1</v>
      </c>
      <c r="D10" s="0" t="s">
        <v>44</v>
      </c>
    </row>
    <row r="11" customFormat="false" ht="15" hidden="false" customHeight="false" outlineLevel="0" collapsed="false">
      <c r="A11" s="0" t="s">
        <v>130</v>
      </c>
      <c r="B11" s="0" t="s">
        <v>131</v>
      </c>
      <c r="C11" s="0" t="n">
        <v>3</v>
      </c>
      <c r="D11" s="0" t="s">
        <v>6</v>
      </c>
    </row>
    <row r="12" customFormat="false" ht="15" hidden="false" customHeight="false" outlineLevel="0" collapsed="false">
      <c r="A12" s="0" t="s">
        <v>132</v>
      </c>
      <c r="B12" s="0" t="s">
        <v>133</v>
      </c>
      <c r="C12" s="0" t="n">
        <v>0</v>
      </c>
      <c r="D12" s="0" t="s">
        <v>9</v>
      </c>
      <c r="G12" s="4" t="s">
        <v>3</v>
      </c>
      <c r="H12" s="5" t="s">
        <v>10</v>
      </c>
      <c r="I12" s="6" t="s">
        <v>11</v>
      </c>
    </row>
    <row r="13" customFormat="false" ht="15" hidden="false" customHeight="false" outlineLevel="0" collapsed="false">
      <c r="A13" s="0" t="s">
        <v>134</v>
      </c>
      <c r="B13" s="0" t="s">
        <v>135</v>
      </c>
      <c r="C13" s="0" t="n">
        <v>3</v>
      </c>
      <c r="D13" s="0" t="s">
        <v>44</v>
      </c>
      <c r="G13" s="4" t="s">
        <v>24</v>
      </c>
      <c r="H13" s="5" t="n">
        <f aca="false">COUNTIF(D$2:D$31,"=Status quo / default option")</f>
        <v>0</v>
      </c>
      <c r="I13" s="7" t="n">
        <f aca="false">H13/H$19</f>
        <v>0</v>
      </c>
    </row>
    <row r="14" customFormat="false" ht="15" hidden="false" customHeight="false" outlineLevel="0" collapsed="false">
      <c r="A14" s="0" t="s">
        <v>136</v>
      </c>
      <c r="B14" s="0" t="s">
        <v>137</v>
      </c>
      <c r="C14" s="0" t="n">
        <v>1</v>
      </c>
      <c r="D14" s="0" t="s">
        <v>44</v>
      </c>
      <c r="G14" s="8" t="s">
        <v>9</v>
      </c>
      <c r="H14" s="9" t="n">
        <f aca="false">COUNTIF(D$2:D$31,"=Vague / Insufficient information / Random")</f>
        <v>5</v>
      </c>
      <c r="I14" s="10" t="n">
        <f aca="false">H14/H$19</f>
        <v>0.178571428571429</v>
      </c>
    </row>
    <row r="15" customFormat="false" ht="15" hidden="false" customHeight="false" outlineLevel="0" collapsed="false">
      <c r="A15" s="0" t="s">
        <v>138</v>
      </c>
      <c r="B15" s="0" t="s">
        <v>139</v>
      </c>
      <c r="C15" s="0" t="n">
        <v>1</v>
      </c>
      <c r="D15" s="0" t="s">
        <v>44</v>
      </c>
      <c r="G15" s="8" t="s">
        <v>18</v>
      </c>
      <c r="H15" s="9" t="n">
        <f aca="false">COUNTIF(D$2:D$31,"=Strategic interaction")</f>
        <v>4</v>
      </c>
      <c r="I15" s="10" t="n">
        <f aca="false">H15/H$19</f>
        <v>0.142857142857143</v>
      </c>
    </row>
    <row r="16" customFormat="false" ht="15" hidden="false" customHeight="false" outlineLevel="0" collapsed="false">
      <c r="A16" s="0" t="s">
        <v>140</v>
      </c>
      <c r="B16" s="0" t="s">
        <v>141</v>
      </c>
      <c r="C16" s="0" t="n">
        <v>4</v>
      </c>
      <c r="D16" s="0" t="s">
        <v>18</v>
      </c>
      <c r="G16" s="8" t="s">
        <v>21</v>
      </c>
      <c r="H16" s="16" t="n">
        <f aca="false">COUNTIF(D$2:D$31,"=Misunderstood the game")</f>
        <v>2</v>
      </c>
      <c r="I16" s="10" t="n">
        <f aca="false">H16/H$19</f>
        <v>0.0714285714285714</v>
      </c>
    </row>
    <row r="17" customFormat="false" ht="15" hidden="false" customHeight="false" outlineLevel="0" collapsed="false">
      <c r="A17" s="0" t="s">
        <v>142</v>
      </c>
      <c r="B17" s="0" t="s">
        <v>143</v>
      </c>
      <c r="C17" s="0" t="n">
        <v>3</v>
      </c>
      <c r="D17" s="0" t="s">
        <v>21</v>
      </c>
      <c r="G17" s="8" t="s">
        <v>6</v>
      </c>
      <c r="H17" s="16" t="n">
        <f aca="false">COUNTIF(D$2:D$31,"=Viability / heuristic")</f>
        <v>4</v>
      </c>
      <c r="I17" s="10" t="n">
        <f aca="false">H17/H$19</f>
        <v>0.142857142857143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n">
        <v>0</v>
      </c>
      <c r="D18" s="0" t="s">
        <v>9</v>
      </c>
      <c r="G18" s="11" t="s">
        <v>44</v>
      </c>
      <c r="H18" s="12" t="n">
        <f aca="false">COUNTIF(D$2:D$31,"=Equality / Reciprocity / Sharing")</f>
        <v>13</v>
      </c>
      <c r="I18" s="13" t="n">
        <f aca="false">H18/H$19</f>
        <v>0.464285714285714</v>
      </c>
    </row>
    <row r="19" customFormat="false" ht="15" hidden="false" customHeight="false" outlineLevel="0" collapsed="false">
      <c r="A19" s="0" t="s">
        <v>146</v>
      </c>
      <c r="B19" s="0" t="s">
        <v>147</v>
      </c>
      <c r="C19" s="0" t="n">
        <v>4</v>
      </c>
      <c r="D19" s="0" t="s">
        <v>6</v>
      </c>
      <c r="G19" s="17" t="s">
        <v>25</v>
      </c>
      <c r="H19" s="18" t="n">
        <f aca="false">SUM(H13:H18)</f>
        <v>28</v>
      </c>
      <c r="I19" s="19" t="n">
        <f aca="false">SUM(I13:I18)</f>
        <v>1</v>
      </c>
    </row>
    <row r="20" customFormat="false" ht="15" hidden="false" customHeight="false" outlineLevel="0" collapsed="false">
      <c r="A20" s="0" t="s">
        <v>148</v>
      </c>
      <c r="B20" s="0" t="s">
        <v>149</v>
      </c>
      <c r="C20" s="0" t="n">
        <v>3</v>
      </c>
      <c r="D20" s="0" t="s">
        <v>21</v>
      </c>
    </row>
    <row r="21" customFormat="false" ht="15" hidden="false" customHeight="false" outlineLevel="0" collapsed="false">
      <c r="A21" s="0" t="s">
        <v>150</v>
      </c>
      <c r="B21" s="0" t="s">
        <v>151</v>
      </c>
      <c r="C21" s="0" t="n">
        <v>3</v>
      </c>
      <c r="D21" s="0" t="s">
        <v>6</v>
      </c>
    </row>
    <row r="22" customFormat="false" ht="15" hidden="false" customHeight="false" outlineLevel="0" collapsed="false">
      <c r="A22" s="0" t="s">
        <v>152</v>
      </c>
      <c r="B22" s="0" t="s">
        <v>153</v>
      </c>
      <c r="C22" s="0" t="n">
        <v>4</v>
      </c>
      <c r="D22" s="0" t="s">
        <v>44</v>
      </c>
    </row>
    <row r="23" customFormat="false" ht="15" hidden="false" customHeight="false" outlineLevel="0" collapsed="false">
      <c r="A23" s="0" t="s">
        <v>154</v>
      </c>
      <c r="B23" s="0" t="s">
        <v>155</v>
      </c>
      <c r="C23" s="0" t="n">
        <v>4</v>
      </c>
      <c r="D23" s="0" t="s">
        <v>18</v>
      </c>
    </row>
    <row r="24" customFormat="false" ht="15" hidden="false" customHeight="false" outlineLevel="0" collapsed="false">
      <c r="A24" s="0" t="s">
        <v>156</v>
      </c>
      <c r="B24" s="0" t="s">
        <v>157</v>
      </c>
      <c r="C24" s="0" t="n">
        <v>1</v>
      </c>
      <c r="D24" s="0" t="s">
        <v>44</v>
      </c>
    </row>
    <row r="25" customFormat="false" ht="15" hidden="false" customHeight="false" outlineLevel="0" collapsed="false">
      <c r="A25" s="0" t="s">
        <v>158</v>
      </c>
    </row>
    <row r="26" customFormat="false" ht="15" hidden="false" customHeight="false" outlineLevel="0" collapsed="false">
      <c r="A26" s="0" t="s">
        <v>158</v>
      </c>
    </row>
    <row r="27" customFormat="false" ht="15" hidden="false" customHeight="false" outlineLevel="0" collapsed="false">
      <c r="A27" s="0" t="s">
        <v>122</v>
      </c>
      <c r="B27" s="0" t="s">
        <v>159</v>
      </c>
      <c r="C27" s="0" t="n">
        <v>0</v>
      </c>
      <c r="D27" s="0" t="s">
        <v>9</v>
      </c>
    </row>
    <row r="28" customFormat="false" ht="15" hidden="false" customHeight="false" outlineLevel="0" collapsed="false">
      <c r="A28" s="0" t="s">
        <v>160</v>
      </c>
      <c r="B28" s="0" t="s">
        <v>161</v>
      </c>
      <c r="C28" s="0" t="n">
        <v>1</v>
      </c>
      <c r="D28" s="0" t="s">
        <v>44</v>
      </c>
    </row>
    <row r="29" customFormat="false" ht="15" hidden="false" customHeight="false" outlineLevel="0" collapsed="false">
      <c r="A29" s="0" t="s">
        <v>162</v>
      </c>
      <c r="B29" s="0" t="s">
        <v>163</v>
      </c>
      <c r="C29" s="0" t="n">
        <v>1</v>
      </c>
      <c r="D29" s="0" t="s">
        <v>44</v>
      </c>
    </row>
    <row r="30" customFormat="false" ht="15" hidden="false" customHeight="false" outlineLevel="0" collapsed="false">
      <c r="A30" s="0" t="s">
        <v>164</v>
      </c>
      <c r="B30" s="0" t="s">
        <v>165</v>
      </c>
      <c r="C30" s="0" t="n">
        <v>4</v>
      </c>
      <c r="D30" s="0" t="s">
        <v>18</v>
      </c>
    </row>
    <row r="31" customFormat="false" ht="15" hidden="false" customHeight="false" outlineLevel="0" collapsed="false">
      <c r="A31" s="0" t="s">
        <v>166</v>
      </c>
      <c r="B31" s="0" t="s">
        <v>167</v>
      </c>
      <c r="C31" s="0" t="n">
        <v>0</v>
      </c>
      <c r="D3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20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16" activeCellId="0" sqref="L16"/>
    </sheetView>
  </sheetViews>
  <sheetFormatPr defaultColWidth="8.59765625" defaultRowHeight="13.8" zeroHeight="false" outlineLevelRow="0" outlineLevelCol="0"/>
  <cols>
    <col collapsed="false" customWidth="true" hidden="false" outlineLevel="0" max="4" min="4" style="0" width="20.59"/>
    <col collapsed="false" customWidth="true" hidden="false" outlineLevel="0" max="5" min="5" style="20" width="36.06"/>
    <col collapsed="false" customWidth="true" hidden="false" outlineLevel="0" max="6" min="6" style="20" width="27.69"/>
    <col collapsed="false" customWidth="true" hidden="false" outlineLevel="0" max="7" min="7" style="20" width="10.2"/>
    <col collapsed="false" customWidth="true" hidden="false" outlineLevel="0" max="11" min="11" style="0" width="28.31"/>
    <col collapsed="false" customWidth="true" hidden="false" outlineLevel="0" max="12" min="12" style="0" width="11.31"/>
    <col collapsed="false" customWidth="true" hidden="false" outlineLevel="0" max="16383" min="16381" style="20" width="10.16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21" t="s">
        <v>168</v>
      </c>
      <c r="B1" s="21" t="s">
        <v>169</v>
      </c>
      <c r="C1" s="21" t="s">
        <v>170</v>
      </c>
      <c r="D1" s="21" t="s">
        <v>2</v>
      </c>
      <c r="E1" s="21" t="s">
        <v>3</v>
      </c>
    </row>
    <row r="2" customFormat="false" ht="13.8" hidden="false" customHeight="false" outlineLevel="0" collapsed="false">
      <c r="A2" s="22" t="s">
        <v>171</v>
      </c>
      <c r="B2" s="22" t="s">
        <v>172</v>
      </c>
      <c r="C2" s="22" t="s">
        <v>173</v>
      </c>
      <c r="D2" s="22" t="n">
        <v>3</v>
      </c>
      <c r="E2" s="23" t="s">
        <v>174</v>
      </c>
      <c r="F2" s="0"/>
      <c r="G2" s="0"/>
      <c r="K2" s="0" t="s">
        <v>175</v>
      </c>
    </row>
    <row r="3" customFormat="false" ht="13.8" hidden="false" customHeight="false" outlineLevel="0" collapsed="false">
      <c r="A3" s="22" t="s">
        <v>171</v>
      </c>
      <c r="B3" s="22" t="s">
        <v>176</v>
      </c>
      <c r="C3" s="22" t="s">
        <v>173</v>
      </c>
      <c r="D3" s="22" t="n">
        <v>2</v>
      </c>
      <c r="E3" s="23" t="s">
        <v>21</v>
      </c>
      <c r="F3" s="24" t="s">
        <v>177</v>
      </c>
      <c r="G3" s="25" t="s">
        <v>10</v>
      </c>
      <c r="H3" s="26" t="s">
        <v>11</v>
      </c>
      <c r="K3" s="4" t="s">
        <v>178</v>
      </c>
      <c r="L3" s="5" t="s">
        <v>10</v>
      </c>
      <c r="M3" s="6" t="s">
        <v>11</v>
      </c>
    </row>
    <row r="4" customFormat="false" ht="13.8" hidden="false" customHeight="false" outlineLevel="0" collapsed="false">
      <c r="A4" s="22" t="s">
        <v>171</v>
      </c>
      <c r="B4" s="22" t="s">
        <v>179</v>
      </c>
      <c r="C4" s="22" t="s">
        <v>173</v>
      </c>
      <c r="D4" s="22" t="n">
        <v>3</v>
      </c>
      <c r="E4" s="23" t="s">
        <v>21</v>
      </c>
      <c r="F4" s="27" t="s">
        <v>174</v>
      </c>
      <c r="G4" s="23" t="n">
        <f aca="false">COUNTIF(E2:E72,"=Default option")</f>
        <v>13</v>
      </c>
      <c r="H4" s="28" t="n">
        <f aca="false">G4/G$10</f>
        <v>0.183098591549296</v>
      </c>
      <c r="K4" s="4" t="n">
        <v>0</v>
      </c>
      <c r="L4" s="5" t="n">
        <f aca="false">COUNTIF(D$2:D$208,"=0")</f>
        <v>34</v>
      </c>
      <c r="M4" s="7" t="n">
        <f aca="false">L4/L$8</f>
        <v>0.164251207729469</v>
      </c>
    </row>
    <row r="5" customFormat="false" ht="13.8" hidden="false" customHeight="false" outlineLevel="0" collapsed="false">
      <c r="A5" s="22" t="s">
        <v>171</v>
      </c>
      <c r="B5" s="22" t="s">
        <v>180</v>
      </c>
      <c r="C5" s="22" t="s">
        <v>173</v>
      </c>
      <c r="D5" s="22" t="n">
        <v>3</v>
      </c>
      <c r="E5" s="23" t="s">
        <v>174</v>
      </c>
      <c r="F5" s="27" t="s">
        <v>21</v>
      </c>
      <c r="G5" s="23" t="n">
        <f aca="false">COUNTIF(E2:E72,"=Misunderstood the game")</f>
        <v>13</v>
      </c>
      <c r="H5" s="28" t="n">
        <f aca="false">G5/G$10</f>
        <v>0.183098591549296</v>
      </c>
      <c r="K5" s="8" t="n">
        <v>1</v>
      </c>
      <c r="L5" s="9" t="n">
        <f aca="false">COUNTIF(D$2:D$208,"=1")</f>
        <v>10</v>
      </c>
      <c r="M5" s="10" t="n">
        <f aca="false">L5/L$8</f>
        <v>0.0483091787439614</v>
      </c>
    </row>
    <row r="6" customFormat="false" ht="13.8" hidden="false" customHeight="false" outlineLevel="0" collapsed="false">
      <c r="A6" s="22" t="s">
        <v>171</v>
      </c>
      <c r="B6" s="22" t="s">
        <v>181</v>
      </c>
      <c r="C6" s="22" t="s">
        <v>173</v>
      </c>
      <c r="D6" s="22" t="n">
        <v>3</v>
      </c>
      <c r="E6" s="23" t="s">
        <v>174</v>
      </c>
      <c r="F6" s="27" t="s">
        <v>182</v>
      </c>
      <c r="G6" s="23" t="n">
        <f aca="false">COUNTIF(E2:E72,"=Market interaction reasoning")</f>
        <v>19</v>
      </c>
      <c r="H6" s="28" t="n">
        <f aca="false">G6/G$10</f>
        <v>0.267605633802817</v>
      </c>
      <c r="K6" s="8" t="n">
        <v>2</v>
      </c>
      <c r="L6" s="9" t="n">
        <f aca="false">COUNTIF(D$2:D$208,"=2")</f>
        <v>78</v>
      </c>
      <c r="M6" s="10" t="n">
        <f aca="false">L6/L$8</f>
        <v>0.376811594202899</v>
      </c>
    </row>
    <row r="7" customFormat="false" ht="13.8" hidden="false" customHeight="false" outlineLevel="0" collapsed="false">
      <c r="A7" s="22" t="s">
        <v>171</v>
      </c>
      <c r="B7" s="22" t="s">
        <v>183</v>
      </c>
      <c r="C7" s="22" t="s">
        <v>173</v>
      </c>
      <c r="D7" s="22" t="n">
        <v>0</v>
      </c>
      <c r="E7" s="23" t="s">
        <v>21</v>
      </c>
      <c r="F7" s="27" t="s">
        <v>184</v>
      </c>
      <c r="G7" s="23" t="n">
        <f aca="false">COUNTIF(E2:E72,"=Vague/Insufficient information")</f>
        <v>8</v>
      </c>
      <c r="H7" s="28" t="n">
        <f aca="false">G7/G$10</f>
        <v>0.112676056338028</v>
      </c>
      <c r="K7" s="11" t="n">
        <v>3</v>
      </c>
      <c r="L7" s="12" t="n">
        <f aca="false">COUNTIF(D$2:D$208,"=3")</f>
        <v>85</v>
      </c>
      <c r="M7" s="13" t="n">
        <f aca="false">L7/L$8</f>
        <v>0.410628019323672</v>
      </c>
    </row>
    <row r="8" customFormat="false" ht="13.8" hidden="false" customHeight="false" outlineLevel="0" collapsed="false">
      <c r="A8" s="22" t="s">
        <v>171</v>
      </c>
      <c r="B8" s="22" t="s">
        <v>185</v>
      </c>
      <c r="C8" s="22" t="s">
        <v>173</v>
      </c>
      <c r="D8" s="22" t="n">
        <v>2</v>
      </c>
      <c r="E8" s="23" t="s">
        <v>182</v>
      </c>
      <c r="F8" s="27" t="s">
        <v>186</v>
      </c>
      <c r="G8" s="23" t="n">
        <f aca="false">COUNTIF(E2:E72,"=Best")</f>
        <v>1</v>
      </c>
      <c r="H8" s="28" t="n">
        <f aca="false">G8/G$10</f>
        <v>0.0140845070422535</v>
      </c>
      <c r="K8" s="14" t="s">
        <v>187</v>
      </c>
      <c r="L8" s="12" t="n">
        <f aca="false">SUM(L4:L7)</f>
        <v>207</v>
      </c>
      <c r="M8" s="15" t="n">
        <f aca="false">SUM(M4:M7)</f>
        <v>1</v>
      </c>
    </row>
    <row r="9" customFormat="false" ht="13.8" hidden="false" customHeight="false" outlineLevel="0" collapsed="false">
      <c r="A9" s="22" t="s">
        <v>171</v>
      </c>
      <c r="B9" s="22" t="s">
        <v>188</v>
      </c>
      <c r="C9" s="22" t="s">
        <v>173</v>
      </c>
      <c r="D9" s="22" t="n">
        <v>0</v>
      </c>
      <c r="E9" s="23" t="s">
        <v>21</v>
      </c>
      <c r="F9" s="27" t="s">
        <v>189</v>
      </c>
      <c r="G9" s="23" t="n">
        <f aca="false">COUNTIF(E2:E72,"=Random/Don't know")</f>
        <v>17</v>
      </c>
      <c r="H9" s="28" t="n">
        <f aca="false">G9/G$10</f>
        <v>0.23943661971831</v>
      </c>
    </row>
    <row r="10" customFormat="false" ht="13.8" hidden="false" customHeight="false" outlineLevel="0" collapsed="false">
      <c r="A10" s="22" t="s">
        <v>171</v>
      </c>
      <c r="B10" s="22" t="s">
        <v>190</v>
      </c>
      <c r="C10" s="22" t="s">
        <v>173</v>
      </c>
      <c r="D10" s="22" t="n">
        <v>2</v>
      </c>
      <c r="E10" s="23" t="s">
        <v>182</v>
      </c>
      <c r="F10" s="24" t="s">
        <v>187</v>
      </c>
      <c r="G10" s="25" t="n">
        <f aca="false">SUM(G4:G9)</f>
        <v>71</v>
      </c>
      <c r="H10" s="29" t="n">
        <f aca="false">SUM(H4:H9)</f>
        <v>1</v>
      </c>
    </row>
    <row r="11" customFormat="false" ht="13.8" hidden="false" customHeight="false" outlineLevel="0" collapsed="false">
      <c r="A11" s="22" t="s">
        <v>171</v>
      </c>
      <c r="B11" s="22" t="s">
        <v>191</v>
      </c>
      <c r="C11" s="22" t="s">
        <v>173</v>
      </c>
      <c r="D11" s="22" t="n">
        <v>2</v>
      </c>
      <c r="E11" s="23" t="s">
        <v>182</v>
      </c>
      <c r="K11" s="24" t="s">
        <v>192</v>
      </c>
      <c r="L11" s="25" t="s">
        <v>10</v>
      </c>
      <c r="M11" s="26" t="s">
        <v>11</v>
      </c>
    </row>
    <row r="12" customFormat="false" ht="13.8" hidden="false" customHeight="false" outlineLevel="0" collapsed="false">
      <c r="A12" s="22" t="s">
        <v>171</v>
      </c>
      <c r="B12" s="22" t="s">
        <v>193</v>
      </c>
      <c r="C12" s="22" t="s">
        <v>173</v>
      </c>
      <c r="D12" s="22" t="n">
        <v>0</v>
      </c>
      <c r="E12" s="23" t="s">
        <v>21</v>
      </c>
      <c r="F12" s="23"/>
      <c r="K12" s="27" t="s">
        <v>174</v>
      </c>
      <c r="L12" s="23" t="n">
        <f aca="false">COUNTIF(E$2:E$208,"=Default option")</f>
        <v>38</v>
      </c>
      <c r="M12" s="28" t="n">
        <f aca="false">L12/L$18</f>
        <v>0.183574879227053</v>
      </c>
    </row>
    <row r="13" customFormat="false" ht="13.8" hidden="false" customHeight="false" outlineLevel="0" collapsed="false">
      <c r="A13" s="22" t="s">
        <v>171</v>
      </c>
      <c r="B13" s="22" t="s">
        <v>194</v>
      </c>
      <c r="C13" s="22" t="s">
        <v>173</v>
      </c>
      <c r="D13" s="22" t="n">
        <v>3</v>
      </c>
      <c r="E13" s="23" t="s">
        <v>174</v>
      </c>
      <c r="F13" s="4" t="s">
        <v>195</v>
      </c>
      <c r="G13" s="5" t="s">
        <v>10</v>
      </c>
      <c r="H13" s="6" t="s">
        <v>11</v>
      </c>
      <c r="K13" s="27" t="s">
        <v>21</v>
      </c>
      <c r="L13" s="23" t="n">
        <f aca="false">COUNTIF(E$2:E$208,"=Misunderstood the game")</f>
        <v>33</v>
      </c>
      <c r="M13" s="28" t="n">
        <f aca="false">L13/L$18</f>
        <v>0.159420289855072</v>
      </c>
    </row>
    <row r="14" customFormat="false" ht="13.8" hidden="false" customHeight="false" outlineLevel="0" collapsed="false">
      <c r="A14" s="22" t="s">
        <v>171</v>
      </c>
      <c r="B14" s="22" t="s">
        <v>196</v>
      </c>
      <c r="C14" s="22" t="s">
        <v>173</v>
      </c>
      <c r="D14" s="22" t="n">
        <v>2</v>
      </c>
      <c r="E14" s="23" t="s">
        <v>182</v>
      </c>
      <c r="F14" s="4" t="n">
        <v>0</v>
      </c>
      <c r="G14" s="5" t="n">
        <f aca="false">COUNTIF(D$2:D$72,"=0")</f>
        <v>13</v>
      </c>
      <c r="H14" s="7" t="n">
        <f aca="false">G14/G$18</f>
        <v>0.183098591549296</v>
      </c>
      <c r="K14" s="27" t="s">
        <v>182</v>
      </c>
      <c r="L14" s="23" t="n">
        <f aca="false">COUNTIF(E$2:E$208,"=Market interaction reasoning")</f>
        <v>32</v>
      </c>
      <c r="M14" s="28" t="n">
        <f aca="false">L14/L$18</f>
        <v>0.154589371980676</v>
      </c>
    </row>
    <row r="15" customFormat="false" ht="13.8" hidden="false" customHeight="false" outlineLevel="0" collapsed="false">
      <c r="A15" s="22" t="s">
        <v>171</v>
      </c>
      <c r="B15" s="22" t="s">
        <v>197</v>
      </c>
      <c r="C15" s="22" t="s">
        <v>173</v>
      </c>
      <c r="D15" s="22" t="n">
        <v>3</v>
      </c>
      <c r="E15" s="23" t="s">
        <v>174</v>
      </c>
      <c r="F15" s="8" t="n">
        <v>1</v>
      </c>
      <c r="G15" s="0" t="n">
        <f aca="false">COUNTIF(D$2:D$72,"=1")</f>
        <v>3</v>
      </c>
      <c r="H15" s="10" t="n">
        <f aca="false">G15/G$18</f>
        <v>0.0422535211267606</v>
      </c>
      <c r="K15" s="27" t="s">
        <v>184</v>
      </c>
      <c r="L15" s="23" t="n">
        <f aca="false">COUNTIF(E$2:E$208,"=Vague/Insufficient information")</f>
        <v>48</v>
      </c>
      <c r="M15" s="28" t="n">
        <f aca="false">L15/L$18</f>
        <v>0.231884057971015</v>
      </c>
    </row>
    <row r="16" customFormat="false" ht="13.8" hidden="false" customHeight="false" outlineLevel="0" collapsed="false">
      <c r="A16" s="22" t="s">
        <v>171</v>
      </c>
      <c r="B16" s="22" t="s">
        <v>198</v>
      </c>
      <c r="C16" s="22" t="s">
        <v>173</v>
      </c>
      <c r="D16" s="22" t="n">
        <v>2</v>
      </c>
      <c r="E16" s="23" t="s">
        <v>184</v>
      </c>
      <c r="F16" s="8" t="n">
        <v>2</v>
      </c>
      <c r="G16" s="0" t="n">
        <f aca="false">COUNTIF(D$2:D$72,"=2")</f>
        <v>24</v>
      </c>
      <c r="H16" s="10" t="n">
        <f aca="false">G16/G$18</f>
        <v>0.338028169014085</v>
      </c>
      <c r="K16" s="27" t="s">
        <v>186</v>
      </c>
      <c r="L16" s="23" t="n">
        <f aca="false">COUNTIF(E$2:E$208,"=Best")</f>
        <v>9</v>
      </c>
      <c r="M16" s="28" t="n">
        <f aca="false">L16/L$18</f>
        <v>0.0434782608695652</v>
      </c>
    </row>
    <row r="17" customFormat="false" ht="13.8" hidden="false" customHeight="false" outlineLevel="0" collapsed="false">
      <c r="A17" s="22" t="s">
        <v>171</v>
      </c>
      <c r="B17" s="22" t="s">
        <v>199</v>
      </c>
      <c r="C17" s="22" t="s">
        <v>173</v>
      </c>
      <c r="D17" s="22" t="n">
        <v>3</v>
      </c>
      <c r="E17" s="23" t="s">
        <v>174</v>
      </c>
      <c r="F17" s="11" t="n">
        <v>3</v>
      </c>
      <c r="G17" s="12" t="n">
        <f aca="false">COUNTIF(D$2:D$72,"=3")</f>
        <v>31</v>
      </c>
      <c r="H17" s="13" t="n">
        <f aca="false">G17/G$18</f>
        <v>0.436619718309859</v>
      </c>
      <c r="K17" s="27" t="s">
        <v>189</v>
      </c>
      <c r="L17" s="23" t="n">
        <f aca="false">COUNTIF(E$2:E$208,"=Random/Don't know")</f>
        <v>47</v>
      </c>
      <c r="M17" s="28" t="n">
        <f aca="false">L17/L$18</f>
        <v>0.227053140096618</v>
      </c>
    </row>
    <row r="18" customFormat="false" ht="13.8" hidden="false" customHeight="false" outlineLevel="0" collapsed="false">
      <c r="A18" s="22" t="s">
        <v>171</v>
      </c>
      <c r="B18" s="22" t="s">
        <v>200</v>
      </c>
      <c r="C18" s="22" t="s">
        <v>173</v>
      </c>
      <c r="D18" s="22" t="n">
        <v>0</v>
      </c>
      <c r="E18" s="23" t="s">
        <v>189</v>
      </c>
      <c r="F18" s="14" t="s">
        <v>187</v>
      </c>
      <c r="G18" s="12" t="n">
        <f aca="false">SUM(G14:G17)</f>
        <v>71</v>
      </c>
      <c r="H18" s="15" t="n">
        <f aca="false">SUM(H14:H17)</f>
        <v>1</v>
      </c>
      <c r="K18" s="24" t="s">
        <v>187</v>
      </c>
      <c r="L18" s="25" t="n">
        <f aca="false">SUM(L12:L17)</f>
        <v>207</v>
      </c>
      <c r="M18" s="29" t="n">
        <f aca="false">SUM(M12:M17)</f>
        <v>1</v>
      </c>
    </row>
    <row r="19" customFormat="false" ht="13.8" hidden="false" customHeight="false" outlineLevel="0" collapsed="false">
      <c r="A19" s="22" t="s">
        <v>171</v>
      </c>
      <c r="B19" s="22" t="s">
        <v>201</v>
      </c>
      <c r="C19" s="22" t="s">
        <v>173</v>
      </c>
      <c r="D19" s="22" t="n">
        <v>1</v>
      </c>
      <c r="E19" s="23" t="s">
        <v>189</v>
      </c>
    </row>
    <row r="20" customFormat="false" ht="13.8" hidden="false" customHeight="false" outlineLevel="0" collapsed="false">
      <c r="A20" s="22" t="s">
        <v>171</v>
      </c>
      <c r="B20" s="22" t="s">
        <v>202</v>
      </c>
      <c r="C20" s="22" t="s">
        <v>173</v>
      </c>
      <c r="D20" s="22" t="n">
        <v>3</v>
      </c>
      <c r="E20" s="23" t="s">
        <v>186</v>
      </c>
    </row>
    <row r="21" customFormat="false" ht="13.8" hidden="false" customHeight="false" outlineLevel="0" collapsed="false">
      <c r="A21" s="22" t="s">
        <v>171</v>
      </c>
      <c r="B21" s="22" t="s">
        <v>203</v>
      </c>
      <c r="C21" s="22" t="s">
        <v>173</v>
      </c>
      <c r="D21" s="22" t="n">
        <v>3</v>
      </c>
      <c r="E21" s="23" t="s">
        <v>21</v>
      </c>
    </row>
    <row r="22" customFormat="false" ht="13.8" hidden="false" customHeight="false" outlineLevel="0" collapsed="false">
      <c r="A22" s="22" t="s">
        <v>171</v>
      </c>
      <c r="B22" s="22" t="s">
        <v>204</v>
      </c>
      <c r="C22" s="22" t="s">
        <v>173</v>
      </c>
      <c r="D22" s="22" t="n">
        <v>2</v>
      </c>
      <c r="E22" s="23" t="s">
        <v>184</v>
      </c>
    </row>
    <row r="23" customFormat="false" ht="13.8" hidden="false" customHeight="false" outlineLevel="0" collapsed="false">
      <c r="A23" s="22" t="s">
        <v>171</v>
      </c>
      <c r="B23" s="22" t="s">
        <v>205</v>
      </c>
      <c r="C23" s="22" t="s">
        <v>173</v>
      </c>
      <c r="D23" s="22" t="n">
        <v>2</v>
      </c>
      <c r="E23" s="23" t="s">
        <v>182</v>
      </c>
    </row>
    <row r="24" customFormat="false" ht="13.8" hidden="false" customHeight="false" outlineLevel="0" collapsed="false">
      <c r="A24" s="22" t="s">
        <v>171</v>
      </c>
      <c r="B24" s="22" t="s">
        <v>206</v>
      </c>
      <c r="C24" s="22" t="s">
        <v>173</v>
      </c>
      <c r="D24" s="22" t="n">
        <v>3</v>
      </c>
      <c r="E24" s="23" t="s">
        <v>182</v>
      </c>
    </row>
    <row r="25" customFormat="false" ht="13.8" hidden="false" customHeight="false" outlineLevel="0" collapsed="false">
      <c r="A25" s="22" t="s">
        <v>171</v>
      </c>
      <c r="B25" s="22" t="s">
        <v>207</v>
      </c>
      <c r="C25" s="22" t="s">
        <v>173</v>
      </c>
      <c r="D25" s="22" t="n">
        <v>2</v>
      </c>
      <c r="E25" s="23" t="s">
        <v>182</v>
      </c>
    </row>
    <row r="26" customFormat="false" ht="13.8" hidden="false" customHeight="false" outlineLevel="0" collapsed="false">
      <c r="A26" s="22" t="s">
        <v>171</v>
      </c>
      <c r="B26" s="22" t="s">
        <v>208</v>
      </c>
      <c r="C26" s="22" t="s">
        <v>173</v>
      </c>
      <c r="D26" s="22" t="n">
        <v>3</v>
      </c>
      <c r="E26" s="23" t="s">
        <v>182</v>
      </c>
    </row>
    <row r="27" customFormat="false" ht="13.8" hidden="false" customHeight="false" outlineLevel="0" collapsed="false">
      <c r="A27" s="22" t="s">
        <v>171</v>
      </c>
      <c r="B27" s="22" t="s">
        <v>209</v>
      </c>
      <c r="C27" s="22" t="s">
        <v>173</v>
      </c>
      <c r="D27" s="22" t="n">
        <v>3</v>
      </c>
      <c r="E27" s="23" t="s">
        <v>182</v>
      </c>
    </row>
    <row r="28" customFormat="false" ht="13.8" hidden="false" customHeight="false" outlineLevel="0" collapsed="false">
      <c r="A28" s="22" t="s">
        <v>171</v>
      </c>
      <c r="B28" s="22" t="s">
        <v>210</v>
      </c>
      <c r="C28" s="22" t="s">
        <v>173</v>
      </c>
      <c r="D28" s="22" t="n">
        <v>3</v>
      </c>
      <c r="E28" s="23" t="s">
        <v>182</v>
      </c>
    </row>
    <row r="29" customFormat="false" ht="13.8" hidden="false" customHeight="false" outlineLevel="0" collapsed="false">
      <c r="A29" s="22" t="s">
        <v>171</v>
      </c>
      <c r="B29" s="22" t="s">
        <v>211</v>
      </c>
      <c r="C29" s="22" t="s">
        <v>173</v>
      </c>
      <c r="D29" s="22" t="n">
        <v>2</v>
      </c>
      <c r="E29" s="23" t="s">
        <v>182</v>
      </c>
    </row>
    <row r="30" customFormat="false" ht="13.8" hidden="false" customHeight="false" outlineLevel="0" collapsed="false">
      <c r="A30" s="22" t="s">
        <v>171</v>
      </c>
      <c r="B30" s="22" t="s">
        <v>212</v>
      </c>
      <c r="C30" s="22" t="s">
        <v>173</v>
      </c>
      <c r="D30" s="22" t="n">
        <v>3</v>
      </c>
      <c r="E30" s="23" t="s">
        <v>184</v>
      </c>
    </row>
    <row r="31" customFormat="false" ht="13.8" hidden="false" customHeight="false" outlineLevel="0" collapsed="false">
      <c r="A31" s="22" t="s">
        <v>171</v>
      </c>
      <c r="B31" s="22" t="s">
        <v>213</v>
      </c>
      <c r="C31" s="22" t="s">
        <v>173</v>
      </c>
      <c r="D31" s="22" t="n">
        <v>0</v>
      </c>
      <c r="E31" s="23" t="s">
        <v>189</v>
      </c>
    </row>
    <row r="32" customFormat="false" ht="13.8" hidden="false" customHeight="false" outlineLevel="0" collapsed="false">
      <c r="A32" s="22" t="s">
        <v>171</v>
      </c>
      <c r="B32" s="22" t="s">
        <v>214</v>
      </c>
      <c r="C32" s="22" t="s">
        <v>173</v>
      </c>
      <c r="D32" s="22" t="n">
        <v>3</v>
      </c>
      <c r="E32" s="23" t="s">
        <v>189</v>
      </c>
    </row>
    <row r="33" customFormat="false" ht="13.8" hidden="false" customHeight="false" outlineLevel="0" collapsed="false">
      <c r="A33" s="22" t="s">
        <v>171</v>
      </c>
      <c r="B33" s="22" t="s">
        <v>215</v>
      </c>
      <c r="C33" s="22" t="s">
        <v>173</v>
      </c>
      <c r="D33" s="22" t="n">
        <v>2</v>
      </c>
      <c r="E33" s="23" t="s">
        <v>189</v>
      </c>
    </row>
    <row r="34" customFormat="false" ht="13.8" hidden="false" customHeight="false" outlineLevel="0" collapsed="false">
      <c r="A34" s="22" t="s">
        <v>171</v>
      </c>
      <c r="B34" s="22" t="s">
        <v>216</v>
      </c>
      <c r="C34" s="22" t="s">
        <v>173</v>
      </c>
      <c r="D34" s="22" t="n">
        <v>0</v>
      </c>
      <c r="E34" s="23" t="s">
        <v>21</v>
      </c>
    </row>
    <row r="35" customFormat="false" ht="13.8" hidden="false" customHeight="false" outlineLevel="0" collapsed="false">
      <c r="A35" s="22" t="s">
        <v>171</v>
      </c>
      <c r="B35" s="22" t="s">
        <v>217</v>
      </c>
      <c r="C35" s="22" t="s">
        <v>173</v>
      </c>
      <c r="D35" s="22" t="n">
        <v>3</v>
      </c>
      <c r="E35" s="23" t="s">
        <v>174</v>
      </c>
    </row>
    <row r="36" customFormat="false" ht="13.8" hidden="false" customHeight="false" outlineLevel="0" collapsed="false">
      <c r="A36" s="22" t="s">
        <v>171</v>
      </c>
      <c r="B36" s="22" t="s">
        <v>218</v>
      </c>
      <c r="C36" s="22" t="s">
        <v>173</v>
      </c>
      <c r="D36" s="22" t="n">
        <v>3</v>
      </c>
      <c r="E36" s="23" t="s">
        <v>189</v>
      </c>
    </row>
    <row r="37" customFormat="false" ht="13.8" hidden="false" customHeight="false" outlineLevel="0" collapsed="false">
      <c r="A37" s="22" t="s">
        <v>171</v>
      </c>
      <c r="B37" s="22" t="s">
        <v>219</v>
      </c>
      <c r="C37" s="22" t="s">
        <v>173</v>
      </c>
      <c r="D37" s="22" t="n">
        <v>0</v>
      </c>
      <c r="E37" s="23" t="s">
        <v>184</v>
      </c>
    </row>
    <row r="38" customFormat="false" ht="13.8" hidden="false" customHeight="false" outlineLevel="0" collapsed="false">
      <c r="A38" s="22" t="s">
        <v>171</v>
      </c>
      <c r="B38" s="22" t="s">
        <v>220</v>
      </c>
      <c r="C38" s="22" t="s">
        <v>173</v>
      </c>
      <c r="D38" s="22" t="n">
        <v>1</v>
      </c>
      <c r="E38" s="23" t="s">
        <v>189</v>
      </c>
    </row>
    <row r="39" customFormat="false" ht="13.8" hidden="false" customHeight="false" outlineLevel="0" collapsed="false">
      <c r="A39" s="22" t="s">
        <v>171</v>
      </c>
      <c r="B39" s="22" t="s">
        <v>221</v>
      </c>
      <c r="C39" s="22" t="s">
        <v>173</v>
      </c>
      <c r="D39" s="22" t="n">
        <v>3</v>
      </c>
      <c r="E39" s="23" t="s">
        <v>21</v>
      </c>
    </row>
    <row r="40" customFormat="false" ht="13.8" hidden="false" customHeight="false" outlineLevel="0" collapsed="false">
      <c r="A40" s="22" t="s">
        <v>171</v>
      </c>
      <c r="B40" s="22" t="s">
        <v>222</v>
      </c>
      <c r="C40" s="22" t="s">
        <v>173</v>
      </c>
      <c r="D40" s="22" t="n">
        <v>3</v>
      </c>
      <c r="E40" s="23" t="s">
        <v>174</v>
      </c>
    </row>
    <row r="41" customFormat="false" ht="13.8" hidden="false" customHeight="false" outlineLevel="0" collapsed="false">
      <c r="A41" s="22" t="s">
        <v>171</v>
      </c>
      <c r="B41" s="22" t="s">
        <v>223</v>
      </c>
      <c r="C41" s="22" t="s">
        <v>173</v>
      </c>
      <c r="D41" s="22" t="n">
        <v>0</v>
      </c>
      <c r="E41" s="23" t="s">
        <v>189</v>
      </c>
    </row>
    <row r="42" customFormat="false" ht="13.8" hidden="false" customHeight="false" outlineLevel="0" collapsed="false">
      <c r="A42" s="22" t="s">
        <v>171</v>
      </c>
      <c r="B42" s="22" t="s">
        <v>224</v>
      </c>
      <c r="C42" s="22" t="s">
        <v>173</v>
      </c>
      <c r="D42" s="22" t="n">
        <v>3</v>
      </c>
      <c r="E42" s="23" t="s">
        <v>184</v>
      </c>
    </row>
    <row r="43" customFormat="false" ht="13.8" hidden="false" customHeight="false" outlineLevel="0" collapsed="false">
      <c r="A43" s="22" t="s">
        <v>171</v>
      </c>
      <c r="B43" s="22" t="s">
        <v>225</v>
      </c>
      <c r="C43" s="22" t="s">
        <v>173</v>
      </c>
      <c r="D43" s="22" t="n">
        <v>3</v>
      </c>
      <c r="E43" s="23" t="s">
        <v>184</v>
      </c>
    </row>
    <row r="44" customFormat="false" ht="13.8" hidden="false" customHeight="false" outlineLevel="0" collapsed="false">
      <c r="A44" s="22" t="s">
        <v>171</v>
      </c>
      <c r="B44" s="22" t="s">
        <v>226</v>
      </c>
      <c r="C44" s="22" t="s">
        <v>173</v>
      </c>
      <c r="D44" s="22" t="n">
        <v>0</v>
      </c>
      <c r="E44" s="23" t="s">
        <v>189</v>
      </c>
    </row>
    <row r="45" customFormat="false" ht="13.8" hidden="false" customHeight="false" outlineLevel="0" collapsed="false">
      <c r="A45" s="22" t="s">
        <v>171</v>
      </c>
      <c r="B45" s="22" t="s">
        <v>227</v>
      </c>
      <c r="C45" s="22" t="s">
        <v>173</v>
      </c>
      <c r="D45" s="22" t="n">
        <v>0</v>
      </c>
      <c r="E45" s="23" t="s">
        <v>189</v>
      </c>
    </row>
    <row r="46" customFormat="false" ht="13.8" hidden="false" customHeight="false" outlineLevel="0" collapsed="false">
      <c r="A46" s="22" t="s">
        <v>171</v>
      </c>
      <c r="B46" s="22" t="s">
        <v>228</v>
      </c>
      <c r="C46" s="22" t="s">
        <v>173</v>
      </c>
      <c r="D46" s="22" t="n">
        <v>3</v>
      </c>
      <c r="E46" s="23" t="s">
        <v>174</v>
      </c>
    </row>
    <row r="47" customFormat="false" ht="13.8" hidden="false" customHeight="false" outlineLevel="0" collapsed="false">
      <c r="A47" s="22" t="s">
        <v>171</v>
      </c>
      <c r="B47" s="22" t="s">
        <v>229</v>
      </c>
      <c r="C47" s="22" t="s">
        <v>173</v>
      </c>
      <c r="D47" s="22" t="n">
        <v>0</v>
      </c>
      <c r="E47" s="23" t="s">
        <v>189</v>
      </c>
    </row>
    <row r="48" customFormat="false" ht="13.8" hidden="false" customHeight="false" outlineLevel="0" collapsed="false">
      <c r="A48" s="22" t="s">
        <v>171</v>
      </c>
      <c r="B48" s="22" t="s">
        <v>230</v>
      </c>
      <c r="C48" s="22" t="s">
        <v>173</v>
      </c>
      <c r="D48" s="22" t="n">
        <v>2</v>
      </c>
      <c r="E48" s="23" t="s">
        <v>21</v>
      </c>
    </row>
    <row r="49" customFormat="false" ht="13.8" hidden="false" customHeight="false" outlineLevel="0" collapsed="false">
      <c r="A49" s="22" t="s">
        <v>171</v>
      </c>
      <c r="B49" s="22" t="s">
        <v>231</v>
      </c>
      <c r="C49" s="22" t="s">
        <v>173</v>
      </c>
      <c r="D49" s="22" t="n">
        <v>2</v>
      </c>
      <c r="E49" s="23" t="s">
        <v>182</v>
      </c>
    </row>
    <row r="50" customFormat="false" ht="13.8" hidden="false" customHeight="false" outlineLevel="0" collapsed="false">
      <c r="A50" s="22" t="s">
        <v>171</v>
      </c>
      <c r="B50" s="22" t="s">
        <v>232</v>
      </c>
      <c r="C50" s="22" t="s">
        <v>173</v>
      </c>
      <c r="D50" s="22" t="n">
        <v>2</v>
      </c>
      <c r="E50" s="23" t="s">
        <v>182</v>
      </c>
    </row>
    <row r="51" customFormat="false" ht="13.8" hidden="false" customHeight="false" outlineLevel="0" collapsed="false">
      <c r="A51" s="22" t="s">
        <v>171</v>
      </c>
      <c r="B51" s="22" t="s">
        <v>233</v>
      </c>
      <c r="C51" s="22" t="s">
        <v>173</v>
      </c>
      <c r="D51" s="22" t="n">
        <v>3</v>
      </c>
      <c r="E51" s="23" t="s">
        <v>184</v>
      </c>
    </row>
    <row r="52" customFormat="false" ht="13.8" hidden="false" customHeight="false" outlineLevel="0" collapsed="false">
      <c r="A52" s="22" t="s">
        <v>171</v>
      </c>
      <c r="B52" s="22" t="s">
        <v>234</v>
      </c>
      <c r="C52" s="22" t="s">
        <v>173</v>
      </c>
      <c r="D52" s="22" t="n">
        <v>0</v>
      </c>
      <c r="E52" s="23" t="s">
        <v>21</v>
      </c>
    </row>
    <row r="53" customFormat="false" ht="13.8" hidden="false" customHeight="false" outlineLevel="0" collapsed="false">
      <c r="A53" s="22" t="s">
        <v>171</v>
      </c>
      <c r="B53" s="22" t="s">
        <v>235</v>
      </c>
      <c r="C53" s="22" t="s">
        <v>173</v>
      </c>
      <c r="D53" s="22" t="n">
        <v>3</v>
      </c>
      <c r="E53" s="23" t="s">
        <v>174</v>
      </c>
    </row>
    <row r="54" customFormat="false" ht="13.8" hidden="false" customHeight="false" outlineLevel="0" collapsed="false">
      <c r="A54" s="22" t="s">
        <v>171</v>
      </c>
      <c r="B54" s="22" t="s">
        <v>236</v>
      </c>
      <c r="C54" s="22" t="s">
        <v>173</v>
      </c>
      <c r="D54" s="22" t="n">
        <v>2</v>
      </c>
      <c r="E54" s="23" t="s">
        <v>189</v>
      </c>
    </row>
    <row r="55" customFormat="false" ht="13.8" hidden="false" customHeight="false" outlineLevel="0" collapsed="false">
      <c r="A55" s="22" t="s">
        <v>171</v>
      </c>
      <c r="B55" s="22" t="s">
        <v>237</v>
      </c>
      <c r="C55" s="22" t="s">
        <v>173</v>
      </c>
      <c r="D55" s="22" t="n">
        <v>2</v>
      </c>
      <c r="E55" s="23" t="s">
        <v>189</v>
      </c>
    </row>
    <row r="56" customFormat="false" ht="13.8" hidden="false" customHeight="false" outlineLevel="0" collapsed="false">
      <c r="A56" s="22" t="s">
        <v>171</v>
      </c>
      <c r="B56" s="22" t="s">
        <v>238</v>
      </c>
      <c r="C56" s="22" t="s">
        <v>173</v>
      </c>
      <c r="D56" s="22" t="n">
        <v>2</v>
      </c>
      <c r="E56" s="23" t="s">
        <v>189</v>
      </c>
    </row>
    <row r="57" customFormat="false" ht="13.8" hidden="false" customHeight="false" outlineLevel="0" collapsed="false">
      <c r="A57" s="22" t="s">
        <v>171</v>
      </c>
      <c r="B57" s="22" t="s">
        <v>239</v>
      </c>
      <c r="C57" s="22" t="s">
        <v>173</v>
      </c>
      <c r="D57" s="22" t="n">
        <v>3</v>
      </c>
      <c r="E57" s="23" t="s">
        <v>182</v>
      </c>
    </row>
    <row r="58" customFormat="false" ht="13.8" hidden="false" customHeight="false" outlineLevel="0" collapsed="false">
      <c r="A58" s="22" t="s">
        <v>171</v>
      </c>
      <c r="B58" s="22" t="s">
        <v>240</v>
      </c>
      <c r="C58" s="22" t="s">
        <v>173</v>
      </c>
      <c r="D58" s="22" t="n">
        <v>2</v>
      </c>
      <c r="E58" s="23" t="s">
        <v>182</v>
      </c>
    </row>
    <row r="59" customFormat="false" ht="13.8" hidden="false" customHeight="false" outlineLevel="0" collapsed="false">
      <c r="A59" s="22" t="s">
        <v>171</v>
      </c>
      <c r="B59" s="22" t="s">
        <v>241</v>
      </c>
      <c r="C59" s="22" t="s">
        <v>173</v>
      </c>
      <c r="D59" s="22" t="n">
        <v>2</v>
      </c>
      <c r="E59" s="23" t="s">
        <v>182</v>
      </c>
    </row>
    <row r="60" customFormat="false" ht="13.8" hidden="false" customHeight="false" outlineLevel="0" collapsed="false">
      <c r="A60" s="22" t="s">
        <v>171</v>
      </c>
      <c r="B60" s="22" t="s">
        <v>242</v>
      </c>
      <c r="C60" s="22" t="s">
        <v>173</v>
      </c>
      <c r="D60" s="22" t="n">
        <v>2</v>
      </c>
      <c r="E60" s="23" t="s">
        <v>21</v>
      </c>
    </row>
    <row r="61" customFormat="false" ht="13.8" hidden="false" customHeight="false" outlineLevel="0" collapsed="false">
      <c r="A61" s="22" t="s">
        <v>171</v>
      </c>
      <c r="B61" s="22" t="s">
        <v>243</v>
      </c>
      <c r="C61" s="22" t="s">
        <v>173</v>
      </c>
      <c r="D61" s="22" t="n">
        <v>2</v>
      </c>
      <c r="E61" s="23" t="s">
        <v>189</v>
      </c>
    </row>
    <row r="62" customFormat="false" ht="13.8" hidden="false" customHeight="false" outlineLevel="0" collapsed="false">
      <c r="A62" s="22" t="s">
        <v>171</v>
      </c>
      <c r="B62" s="22" t="s">
        <v>244</v>
      </c>
      <c r="C62" s="22" t="s">
        <v>173</v>
      </c>
      <c r="D62" s="22" t="n">
        <v>3</v>
      </c>
      <c r="E62" s="23" t="s">
        <v>182</v>
      </c>
    </row>
    <row r="63" customFormat="false" ht="13.8" hidden="false" customHeight="false" outlineLevel="0" collapsed="false">
      <c r="A63" s="22" t="s">
        <v>171</v>
      </c>
      <c r="B63" s="22" t="s">
        <v>245</v>
      </c>
      <c r="C63" s="22" t="s">
        <v>173</v>
      </c>
      <c r="D63" s="22" t="n">
        <v>2</v>
      </c>
      <c r="E63" s="23" t="s">
        <v>184</v>
      </c>
    </row>
    <row r="64" customFormat="false" ht="13.8" hidden="false" customHeight="false" outlineLevel="0" collapsed="false">
      <c r="A64" s="22" t="s">
        <v>171</v>
      </c>
      <c r="B64" s="22" t="s">
        <v>246</v>
      </c>
      <c r="C64" s="22" t="s">
        <v>173</v>
      </c>
      <c r="D64" s="22" t="n">
        <v>0</v>
      </c>
      <c r="E64" s="23" t="s">
        <v>189</v>
      </c>
    </row>
    <row r="65" customFormat="false" ht="13.8" hidden="false" customHeight="false" outlineLevel="0" collapsed="false">
      <c r="A65" s="22" t="s">
        <v>171</v>
      </c>
      <c r="B65" s="22" t="s">
        <v>247</v>
      </c>
      <c r="C65" s="22" t="s">
        <v>173</v>
      </c>
      <c r="D65" s="22" t="n">
        <v>3</v>
      </c>
      <c r="E65" s="23" t="s">
        <v>174</v>
      </c>
    </row>
    <row r="66" customFormat="false" ht="13.8" hidden="false" customHeight="false" outlineLevel="0" collapsed="false">
      <c r="A66" s="22" t="s">
        <v>171</v>
      </c>
      <c r="B66" s="22" t="s">
        <v>248</v>
      </c>
      <c r="C66" s="22" t="s">
        <v>173</v>
      </c>
      <c r="D66" s="22" t="n">
        <v>3</v>
      </c>
      <c r="E66" s="23" t="s">
        <v>21</v>
      </c>
    </row>
    <row r="67" customFormat="false" ht="13.8" hidden="false" customHeight="false" outlineLevel="0" collapsed="false">
      <c r="A67" s="22" t="s">
        <v>171</v>
      </c>
      <c r="B67" s="22" t="s">
        <v>181</v>
      </c>
      <c r="C67" s="22" t="s">
        <v>173</v>
      </c>
      <c r="D67" s="22" t="n">
        <v>3</v>
      </c>
      <c r="E67" s="23" t="s">
        <v>174</v>
      </c>
    </row>
    <row r="68" customFormat="false" ht="13.8" hidden="false" customHeight="false" outlineLevel="0" collapsed="false">
      <c r="A68" s="22" t="s">
        <v>171</v>
      </c>
      <c r="B68" s="22" t="s">
        <v>249</v>
      </c>
      <c r="C68" s="22" t="s">
        <v>173</v>
      </c>
      <c r="D68" s="22" t="n">
        <v>3</v>
      </c>
      <c r="E68" s="23" t="s">
        <v>174</v>
      </c>
    </row>
    <row r="69" customFormat="false" ht="13.8" hidden="false" customHeight="false" outlineLevel="0" collapsed="false">
      <c r="A69" s="22" t="s">
        <v>171</v>
      </c>
      <c r="B69" s="22" t="s">
        <v>250</v>
      </c>
      <c r="C69" s="22" t="s">
        <v>173</v>
      </c>
      <c r="D69" s="22" t="n">
        <v>1</v>
      </c>
      <c r="E69" s="23" t="s">
        <v>189</v>
      </c>
    </row>
    <row r="70" customFormat="false" ht="13.8" hidden="false" customHeight="false" outlineLevel="0" collapsed="false">
      <c r="A70" s="22" t="s">
        <v>171</v>
      </c>
      <c r="B70" s="22" t="s">
        <v>251</v>
      </c>
      <c r="C70" s="22" t="s">
        <v>173</v>
      </c>
      <c r="D70" s="22" t="n">
        <v>3</v>
      </c>
      <c r="E70" s="23" t="s">
        <v>182</v>
      </c>
    </row>
    <row r="71" customFormat="false" ht="13.8" hidden="false" customHeight="false" outlineLevel="0" collapsed="false">
      <c r="A71" s="22" t="s">
        <v>171</v>
      </c>
      <c r="B71" s="22" t="s">
        <v>252</v>
      </c>
      <c r="C71" s="22" t="s">
        <v>173</v>
      </c>
      <c r="D71" s="22" t="n">
        <v>2</v>
      </c>
      <c r="E71" s="23" t="s">
        <v>21</v>
      </c>
    </row>
    <row r="72" s="12" customFormat="true" ht="13.8" hidden="false" customHeight="false" outlineLevel="0" collapsed="false">
      <c r="A72" s="30" t="s">
        <v>171</v>
      </c>
      <c r="B72" s="30" t="s">
        <v>253</v>
      </c>
      <c r="C72" s="30" t="s">
        <v>173</v>
      </c>
      <c r="D72" s="30" t="n">
        <v>2</v>
      </c>
      <c r="E72" s="31" t="s">
        <v>182</v>
      </c>
      <c r="F72" s="32"/>
      <c r="G72" s="32"/>
      <c r="XFA72" s="32"/>
      <c r="XFB72" s="32"/>
      <c r="XFC72" s="32"/>
    </row>
    <row r="73" customFormat="false" ht="13.8" hidden="false" customHeight="false" outlineLevel="0" collapsed="false">
      <c r="A73" s="22" t="s">
        <v>254</v>
      </c>
      <c r="B73" s="22" t="s">
        <v>255</v>
      </c>
      <c r="C73" s="22" t="s">
        <v>173</v>
      </c>
      <c r="D73" s="22" t="n">
        <v>0</v>
      </c>
      <c r="E73" s="23" t="s">
        <v>189</v>
      </c>
      <c r="F73" s="24" t="s">
        <v>256</v>
      </c>
      <c r="G73" s="25" t="s">
        <v>10</v>
      </c>
      <c r="H73" s="26" t="s">
        <v>11</v>
      </c>
    </row>
    <row r="74" customFormat="false" ht="13.8" hidden="false" customHeight="false" outlineLevel="0" collapsed="false">
      <c r="A74" s="22" t="s">
        <v>254</v>
      </c>
      <c r="B74" s="22" t="s">
        <v>257</v>
      </c>
      <c r="C74" s="22" t="s">
        <v>173</v>
      </c>
      <c r="D74" s="22" t="n">
        <v>3</v>
      </c>
      <c r="E74" s="23" t="s">
        <v>184</v>
      </c>
      <c r="F74" s="27" t="s">
        <v>174</v>
      </c>
      <c r="G74" s="23" t="n">
        <f aca="false">COUNTIF(E73:E109,"=Default option")</f>
        <v>0</v>
      </c>
      <c r="H74" s="28" t="n">
        <f aca="false">G74/G$80</f>
        <v>0</v>
      </c>
    </row>
    <row r="75" customFormat="false" ht="13.8" hidden="false" customHeight="false" outlineLevel="0" collapsed="false">
      <c r="A75" s="22" t="s">
        <v>254</v>
      </c>
      <c r="B75" s="22" t="s">
        <v>258</v>
      </c>
      <c r="C75" s="22" t="s">
        <v>173</v>
      </c>
      <c r="D75" s="22" t="n">
        <v>3</v>
      </c>
      <c r="E75" s="23" t="s">
        <v>186</v>
      </c>
      <c r="F75" s="27" t="s">
        <v>21</v>
      </c>
      <c r="G75" s="23" t="n">
        <f aca="false">COUNTIF(E73:E109,"=Misunderstood the game")</f>
        <v>6</v>
      </c>
      <c r="H75" s="28" t="n">
        <f aca="false">G75/G$80</f>
        <v>0.162162162162162</v>
      </c>
    </row>
    <row r="76" customFormat="false" ht="13.8" hidden="false" customHeight="false" outlineLevel="0" collapsed="false">
      <c r="A76" s="22" t="s">
        <v>254</v>
      </c>
      <c r="B76" s="22" t="s">
        <v>259</v>
      </c>
      <c r="C76" s="22" t="s">
        <v>173</v>
      </c>
      <c r="D76" s="22" t="n">
        <v>0</v>
      </c>
      <c r="E76" s="23" t="s">
        <v>189</v>
      </c>
      <c r="F76" s="27" t="s">
        <v>182</v>
      </c>
      <c r="G76" s="23" t="n">
        <f aca="false">COUNTIF(E73:E109,"=Market interaction reasoning")</f>
        <v>1</v>
      </c>
      <c r="H76" s="28" t="n">
        <f aca="false">G76/G$80</f>
        <v>0.027027027027027</v>
      </c>
    </row>
    <row r="77" customFormat="false" ht="13.8" hidden="false" customHeight="false" outlineLevel="0" collapsed="false">
      <c r="A77" s="22" t="s">
        <v>254</v>
      </c>
      <c r="B77" s="22" t="s">
        <v>260</v>
      </c>
      <c r="C77" s="22" t="s">
        <v>173</v>
      </c>
      <c r="D77" s="22" t="n">
        <v>0</v>
      </c>
      <c r="E77" s="23" t="s">
        <v>189</v>
      </c>
      <c r="F77" s="27" t="s">
        <v>184</v>
      </c>
      <c r="G77" s="23" t="n">
        <f aca="false">COUNTIF(E73:E109,"=Vague/Insufficient information")</f>
        <v>10</v>
      </c>
      <c r="H77" s="28" t="n">
        <f aca="false">G77/G$80</f>
        <v>0.27027027027027</v>
      </c>
    </row>
    <row r="78" customFormat="false" ht="13.8" hidden="false" customHeight="false" outlineLevel="0" collapsed="false">
      <c r="A78" s="22" t="s">
        <v>254</v>
      </c>
      <c r="B78" s="22" t="s">
        <v>261</v>
      </c>
      <c r="C78" s="22" t="s">
        <v>173</v>
      </c>
      <c r="D78" s="22" t="n">
        <v>2</v>
      </c>
      <c r="E78" s="23" t="s">
        <v>184</v>
      </c>
      <c r="F78" s="27" t="s">
        <v>186</v>
      </c>
      <c r="G78" s="23" t="n">
        <f aca="false">COUNTIF(E73:E109,"=Best")</f>
        <v>4</v>
      </c>
      <c r="H78" s="28" t="n">
        <f aca="false">G78/G$80</f>
        <v>0.108108108108108</v>
      </c>
    </row>
    <row r="79" customFormat="false" ht="13.8" hidden="false" customHeight="false" outlineLevel="0" collapsed="false">
      <c r="A79" s="22" t="s">
        <v>254</v>
      </c>
      <c r="B79" s="22" t="s">
        <v>262</v>
      </c>
      <c r="C79" s="22" t="s">
        <v>173</v>
      </c>
      <c r="D79" s="22" t="n">
        <v>2</v>
      </c>
      <c r="E79" s="23" t="s">
        <v>21</v>
      </c>
      <c r="F79" s="27" t="s">
        <v>189</v>
      </c>
      <c r="G79" s="23" t="n">
        <f aca="false">COUNTIF(E73:E109,"=Random/Don't know")</f>
        <v>16</v>
      </c>
      <c r="H79" s="28" t="n">
        <f aca="false">G79/G$80</f>
        <v>0.432432432432432</v>
      </c>
    </row>
    <row r="80" customFormat="false" ht="13.8" hidden="false" customHeight="false" outlineLevel="0" collapsed="false">
      <c r="A80" s="22" t="s">
        <v>254</v>
      </c>
      <c r="B80" s="22" t="s">
        <v>263</v>
      </c>
      <c r="C80" s="22" t="s">
        <v>173</v>
      </c>
      <c r="D80" s="22" t="n">
        <v>3</v>
      </c>
      <c r="E80" s="23" t="s">
        <v>189</v>
      </c>
      <c r="F80" s="24" t="s">
        <v>187</v>
      </c>
      <c r="G80" s="25" t="n">
        <f aca="false">SUM(G74:G79)</f>
        <v>37</v>
      </c>
      <c r="H80" s="29" t="n">
        <f aca="false">SUM(H74:H79)</f>
        <v>1</v>
      </c>
    </row>
    <row r="81" customFormat="false" ht="13.8" hidden="false" customHeight="false" outlineLevel="0" collapsed="false">
      <c r="A81" s="22" t="s">
        <v>254</v>
      </c>
      <c r="B81" s="22" t="s">
        <v>264</v>
      </c>
      <c r="C81" s="22" t="s">
        <v>173</v>
      </c>
      <c r="D81" s="22" t="n">
        <v>2</v>
      </c>
      <c r="E81" s="23" t="s">
        <v>182</v>
      </c>
    </row>
    <row r="82" customFormat="false" ht="13.8" hidden="false" customHeight="false" outlineLevel="0" collapsed="false">
      <c r="A82" s="22" t="s">
        <v>254</v>
      </c>
      <c r="B82" s="22" t="s">
        <v>265</v>
      </c>
      <c r="C82" s="22" t="s">
        <v>173</v>
      </c>
      <c r="D82" s="22" t="n">
        <v>0</v>
      </c>
      <c r="E82" s="23" t="s">
        <v>189</v>
      </c>
      <c r="F82" s="23"/>
    </row>
    <row r="83" customFormat="false" ht="13.8" hidden="false" customHeight="false" outlineLevel="0" collapsed="false">
      <c r="A83" s="22" t="s">
        <v>254</v>
      </c>
      <c r="B83" s="22" t="s">
        <v>266</v>
      </c>
      <c r="C83" s="22" t="s">
        <v>173</v>
      </c>
      <c r="D83" s="22" t="n">
        <v>3</v>
      </c>
      <c r="E83" s="23" t="s">
        <v>186</v>
      </c>
      <c r="F83" s="4" t="s">
        <v>267</v>
      </c>
      <c r="G83" s="5" t="s">
        <v>10</v>
      </c>
      <c r="H83" s="6" t="s">
        <v>11</v>
      </c>
    </row>
    <row r="84" customFormat="false" ht="13.8" hidden="false" customHeight="false" outlineLevel="0" collapsed="false">
      <c r="A84" s="22" t="s">
        <v>254</v>
      </c>
      <c r="B84" s="22" t="s">
        <v>268</v>
      </c>
      <c r="C84" s="22" t="s">
        <v>173</v>
      </c>
      <c r="D84" s="22" t="n">
        <v>2</v>
      </c>
      <c r="E84" s="23" t="s">
        <v>189</v>
      </c>
      <c r="F84" s="4" t="n">
        <v>0</v>
      </c>
      <c r="G84" s="5" t="n">
        <f aca="false">COUNTIF(D$73:D$109,"=0")</f>
        <v>8</v>
      </c>
      <c r="H84" s="7" t="n">
        <f aca="false">G84/G$88</f>
        <v>0.216216216216216</v>
      </c>
    </row>
    <row r="85" customFormat="false" ht="13.8" hidden="false" customHeight="false" outlineLevel="0" collapsed="false">
      <c r="A85" s="22" t="s">
        <v>254</v>
      </c>
      <c r="B85" s="22" t="s">
        <v>269</v>
      </c>
      <c r="C85" s="22" t="s">
        <v>173</v>
      </c>
      <c r="D85" s="22" t="n">
        <v>1</v>
      </c>
      <c r="E85" s="23" t="s">
        <v>184</v>
      </c>
      <c r="F85" s="8" t="n">
        <v>1</v>
      </c>
      <c r="G85" s="0" t="n">
        <f aca="false">COUNTIF(D$73:D$109,"=1")</f>
        <v>2</v>
      </c>
      <c r="H85" s="10" t="n">
        <f aca="false">G85/G$88</f>
        <v>0.0540540540540541</v>
      </c>
    </row>
    <row r="86" customFormat="false" ht="13.8" hidden="false" customHeight="false" outlineLevel="0" collapsed="false">
      <c r="A86" s="22" t="s">
        <v>254</v>
      </c>
      <c r="B86" s="22" t="s">
        <v>270</v>
      </c>
      <c r="C86" s="22" t="s">
        <v>173</v>
      </c>
      <c r="D86" s="22" t="n">
        <v>2</v>
      </c>
      <c r="E86" s="23" t="s">
        <v>189</v>
      </c>
      <c r="F86" s="8" t="n">
        <v>2</v>
      </c>
      <c r="G86" s="0" t="n">
        <f aca="false">COUNTIF(D$73:D$109,"=2")</f>
        <v>17</v>
      </c>
      <c r="H86" s="10" t="n">
        <f aca="false">G86/G$88</f>
        <v>0.45945945945946</v>
      </c>
    </row>
    <row r="87" customFormat="false" ht="13.8" hidden="false" customHeight="false" outlineLevel="0" collapsed="false">
      <c r="A87" s="22" t="s">
        <v>254</v>
      </c>
      <c r="B87" s="22" t="s">
        <v>271</v>
      </c>
      <c r="C87" s="22" t="s">
        <v>173</v>
      </c>
      <c r="D87" s="22" t="n">
        <v>2</v>
      </c>
      <c r="E87" s="23" t="s">
        <v>189</v>
      </c>
      <c r="F87" s="11" t="n">
        <v>3</v>
      </c>
      <c r="G87" s="12" t="n">
        <f aca="false">COUNTIF(D$73:D$109,"=3")</f>
        <v>10</v>
      </c>
      <c r="H87" s="13" t="n">
        <f aca="false">G87/G$88</f>
        <v>0.27027027027027</v>
      </c>
    </row>
    <row r="88" customFormat="false" ht="13.8" hidden="false" customHeight="false" outlineLevel="0" collapsed="false">
      <c r="A88" s="22" t="s">
        <v>254</v>
      </c>
      <c r="B88" s="22" t="s">
        <v>272</v>
      </c>
      <c r="C88" s="22" t="s">
        <v>173</v>
      </c>
      <c r="D88" s="22" t="n">
        <v>0</v>
      </c>
      <c r="E88" s="23" t="s">
        <v>189</v>
      </c>
      <c r="F88" s="14" t="s">
        <v>187</v>
      </c>
      <c r="G88" s="12" t="n">
        <f aca="false">SUM(G84:G87)</f>
        <v>37</v>
      </c>
      <c r="H88" s="15" t="n">
        <f aca="false">SUM(H84:H87)</f>
        <v>1</v>
      </c>
    </row>
    <row r="89" customFormat="false" ht="13.8" hidden="false" customHeight="false" outlineLevel="0" collapsed="false">
      <c r="A89" s="22" t="s">
        <v>254</v>
      </c>
      <c r="B89" s="22" t="s">
        <v>273</v>
      </c>
      <c r="C89" s="22" t="s">
        <v>173</v>
      </c>
      <c r="D89" s="22" t="n">
        <v>2</v>
      </c>
      <c r="E89" s="23" t="s">
        <v>189</v>
      </c>
    </row>
    <row r="90" customFormat="false" ht="13.8" hidden="false" customHeight="false" outlineLevel="0" collapsed="false">
      <c r="A90" s="22" t="s">
        <v>254</v>
      </c>
      <c r="B90" s="22" t="s">
        <v>274</v>
      </c>
      <c r="C90" s="22" t="s">
        <v>173</v>
      </c>
      <c r="D90" s="22" t="n">
        <v>2</v>
      </c>
      <c r="E90" s="23" t="s">
        <v>184</v>
      </c>
    </row>
    <row r="91" customFormat="false" ht="13.8" hidden="false" customHeight="false" outlineLevel="0" collapsed="false">
      <c r="A91" s="22" t="s">
        <v>254</v>
      </c>
      <c r="B91" s="22" t="s">
        <v>275</v>
      </c>
      <c r="C91" s="22" t="s">
        <v>173</v>
      </c>
      <c r="D91" s="22" t="n">
        <v>3</v>
      </c>
      <c r="E91" s="23" t="s">
        <v>186</v>
      </c>
    </row>
    <row r="92" customFormat="false" ht="13.8" hidden="false" customHeight="false" outlineLevel="0" collapsed="false">
      <c r="A92" s="22" t="s">
        <v>254</v>
      </c>
      <c r="B92" s="22" t="s">
        <v>276</v>
      </c>
      <c r="C92" s="22" t="s">
        <v>173</v>
      </c>
      <c r="D92" s="22" t="n">
        <v>3</v>
      </c>
      <c r="E92" s="23" t="s">
        <v>186</v>
      </c>
    </row>
    <row r="93" customFormat="false" ht="13.8" hidden="false" customHeight="false" outlineLevel="0" collapsed="false">
      <c r="A93" s="22" t="s">
        <v>254</v>
      </c>
      <c r="B93" s="22" t="s">
        <v>277</v>
      </c>
      <c r="C93" s="22" t="s">
        <v>173</v>
      </c>
      <c r="D93" s="22" t="n">
        <v>2</v>
      </c>
      <c r="E93" s="23" t="s">
        <v>184</v>
      </c>
    </row>
    <row r="94" customFormat="false" ht="13.8" hidden="false" customHeight="false" outlineLevel="0" collapsed="false">
      <c r="A94" s="22" t="s">
        <v>254</v>
      </c>
      <c r="B94" s="22" t="s">
        <v>278</v>
      </c>
      <c r="C94" s="22" t="s">
        <v>173</v>
      </c>
      <c r="D94" s="22" t="n">
        <v>2</v>
      </c>
      <c r="E94" s="23" t="s">
        <v>184</v>
      </c>
    </row>
    <row r="95" customFormat="false" ht="13.8" hidden="false" customHeight="false" outlineLevel="0" collapsed="false">
      <c r="A95" s="22" t="s">
        <v>254</v>
      </c>
      <c r="B95" s="22" t="s">
        <v>279</v>
      </c>
      <c r="C95" s="22" t="s">
        <v>173</v>
      </c>
      <c r="D95" s="22" t="n">
        <v>2</v>
      </c>
      <c r="E95" s="23" t="s">
        <v>21</v>
      </c>
    </row>
    <row r="96" customFormat="false" ht="13.8" hidden="false" customHeight="false" outlineLevel="0" collapsed="false">
      <c r="A96" s="22" t="s">
        <v>254</v>
      </c>
      <c r="B96" s="22" t="s">
        <v>280</v>
      </c>
      <c r="C96" s="22" t="s">
        <v>173</v>
      </c>
      <c r="D96" s="22" t="n">
        <v>2</v>
      </c>
      <c r="E96" s="23" t="s">
        <v>189</v>
      </c>
    </row>
    <row r="97" customFormat="false" ht="13.8" hidden="false" customHeight="false" outlineLevel="0" collapsed="false">
      <c r="A97" s="22" t="s">
        <v>254</v>
      </c>
      <c r="B97" s="22" t="s">
        <v>281</v>
      </c>
      <c r="C97" s="22" t="s">
        <v>173</v>
      </c>
      <c r="D97" s="22" t="n">
        <v>2</v>
      </c>
      <c r="E97" s="23" t="s">
        <v>21</v>
      </c>
    </row>
    <row r="98" customFormat="false" ht="13.8" hidden="false" customHeight="false" outlineLevel="0" collapsed="false">
      <c r="A98" s="22" t="s">
        <v>254</v>
      </c>
      <c r="B98" s="22" t="s">
        <v>282</v>
      </c>
      <c r="C98" s="22" t="s">
        <v>173</v>
      </c>
      <c r="D98" s="22" t="n">
        <v>2</v>
      </c>
      <c r="E98" s="23" t="s">
        <v>21</v>
      </c>
    </row>
    <row r="99" customFormat="false" ht="13.8" hidden="false" customHeight="false" outlineLevel="0" collapsed="false">
      <c r="A99" s="22" t="s">
        <v>254</v>
      </c>
      <c r="B99" s="22" t="s">
        <v>283</v>
      </c>
      <c r="C99" s="22" t="s">
        <v>173</v>
      </c>
      <c r="D99" s="22" t="n">
        <v>0</v>
      </c>
      <c r="E99" s="23" t="s">
        <v>189</v>
      </c>
    </row>
    <row r="100" customFormat="false" ht="13.8" hidden="false" customHeight="false" outlineLevel="0" collapsed="false">
      <c r="A100" s="22" t="s">
        <v>254</v>
      </c>
      <c r="B100" s="22" t="s">
        <v>284</v>
      </c>
      <c r="C100" s="22" t="s">
        <v>173</v>
      </c>
      <c r="D100" s="22" t="n">
        <v>0</v>
      </c>
      <c r="E100" s="23" t="s">
        <v>189</v>
      </c>
    </row>
    <row r="101" customFormat="false" ht="13.8" hidden="false" customHeight="false" outlineLevel="0" collapsed="false">
      <c r="A101" s="22" t="s">
        <v>254</v>
      </c>
      <c r="B101" s="22" t="s">
        <v>285</v>
      </c>
      <c r="C101" s="22" t="s">
        <v>173</v>
      </c>
      <c r="D101" s="22" t="n">
        <v>2</v>
      </c>
      <c r="E101" s="23" t="s">
        <v>184</v>
      </c>
    </row>
    <row r="102" customFormat="false" ht="13.8" hidden="false" customHeight="false" outlineLevel="0" collapsed="false">
      <c r="A102" s="22" t="s">
        <v>254</v>
      </c>
      <c r="B102" s="22" t="s">
        <v>286</v>
      </c>
      <c r="C102" s="22" t="s">
        <v>173</v>
      </c>
      <c r="D102" s="22" t="n">
        <v>1</v>
      </c>
      <c r="E102" s="23" t="s">
        <v>189</v>
      </c>
    </row>
    <row r="103" customFormat="false" ht="13.8" hidden="false" customHeight="false" outlineLevel="0" collapsed="false">
      <c r="A103" s="22" t="s">
        <v>254</v>
      </c>
      <c r="B103" s="22" t="s">
        <v>287</v>
      </c>
      <c r="C103" s="22" t="s">
        <v>173</v>
      </c>
      <c r="D103" s="22" t="n">
        <v>3</v>
      </c>
      <c r="E103" s="23" t="s">
        <v>21</v>
      </c>
    </row>
    <row r="104" customFormat="false" ht="13.8" hidden="false" customHeight="false" outlineLevel="0" collapsed="false">
      <c r="A104" s="22" t="s">
        <v>254</v>
      </c>
      <c r="B104" s="22" t="s">
        <v>288</v>
      </c>
      <c r="C104" s="22" t="s">
        <v>173</v>
      </c>
      <c r="D104" s="22" t="n">
        <v>3</v>
      </c>
      <c r="E104" s="23" t="s">
        <v>184</v>
      </c>
    </row>
    <row r="105" customFormat="false" ht="13.8" hidden="false" customHeight="false" outlineLevel="0" collapsed="false">
      <c r="A105" s="22" t="s">
        <v>254</v>
      </c>
      <c r="B105" s="22" t="s">
        <v>289</v>
      </c>
      <c r="C105" s="22" t="s">
        <v>173</v>
      </c>
      <c r="D105" s="22" t="n">
        <v>3</v>
      </c>
      <c r="E105" s="23" t="s">
        <v>184</v>
      </c>
    </row>
    <row r="106" customFormat="false" ht="13.8" hidden="false" customHeight="false" outlineLevel="0" collapsed="false">
      <c r="A106" s="22" t="s">
        <v>254</v>
      </c>
      <c r="B106" s="22" t="s">
        <v>290</v>
      </c>
      <c r="C106" s="22" t="s">
        <v>173</v>
      </c>
      <c r="D106" s="22" t="n">
        <v>2</v>
      </c>
      <c r="E106" s="23" t="s">
        <v>189</v>
      </c>
    </row>
    <row r="107" customFormat="false" ht="13.8" hidden="false" customHeight="false" outlineLevel="0" collapsed="false">
      <c r="A107" s="22" t="s">
        <v>254</v>
      </c>
      <c r="B107" s="22" t="s">
        <v>291</v>
      </c>
      <c r="C107" s="22" t="s">
        <v>173</v>
      </c>
      <c r="D107" s="22" t="n">
        <v>2</v>
      </c>
      <c r="E107" s="23" t="s">
        <v>184</v>
      </c>
    </row>
    <row r="108" customFormat="false" ht="13.8" hidden="false" customHeight="false" outlineLevel="0" collapsed="false">
      <c r="A108" s="22" t="s">
        <v>254</v>
      </c>
      <c r="B108" s="22" t="s">
        <v>292</v>
      </c>
      <c r="C108" s="22" t="s">
        <v>173</v>
      </c>
      <c r="D108" s="22" t="n">
        <v>0</v>
      </c>
      <c r="E108" s="23" t="s">
        <v>189</v>
      </c>
    </row>
    <row r="109" s="12" customFormat="true" ht="13.8" hidden="false" customHeight="false" outlineLevel="0" collapsed="false">
      <c r="A109" s="30" t="s">
        <v>254</v>
      </c>
      <c r="B109" s="30" t="s">
        <v>293</v>
      </c>
      <c r="C109" s="30" t="s">
        <v>173</v>
      </c>
      <c r="D109" s="30" t="n">
        <v>3</v>
      </c>
      <c r="E109" s="31" t="s">
        <v>21</v>
      </c>
      <c r="F109" s="32"/>
      <c r="G109" s="32"/>
      <c r="XFA109" s="32"/>
      <c r="XFB109" s="32"/>
      <c r="XFC109" s="32"/>
    </row>
    <row r="110" customFormat="false" ht="13.8" hidden="false" customHeight="false" outlineLevel="0" collapsed="false">
      <c r="A110" s="22" t="s">
        <v>294</v>
      </c>
      <c r="B110" s="22" t="s">
        <v>295</v>
      </c>
      <c r="C110" s="22" t="s">
        <v>173</v>
      </c>
      <c r="D110" s="22" t="n">
        <v>2</v>
      </c>
      <c r="E110" s="23" t="s">
        <v>184</v>
      </c>
      <c r="F110" s="24" t="s">
        <v>296</v>
      </c>
      <c r="G110" s="25" t="s">
        <v>10</v>
      </c>
      <c r="H110" s="26" t="s">
        <v>11</v>
      </c>
    </row>
    <row r="111" customFormat="false" ht="13.8" hidden="false" customHeight="false" outlineLevel="0" collapsed="false">
      <c r="A111" s="22" t="s">
        <v>294</v>
      </c>
      <c r="B111" s="22" t="s">
        <v>297</v>
      </c>
      <c r="C111" s="22" t="s">
        <v>173</v>
      </c>
      <c r="D111" s="22" t="n">
        <v>3</v>
      </c>
      <c r="E111" s="23" t="s">
        <v>174</v>
      </c>
      <c r="F111" s="27" t="s">
        <v>174</v>
      </c>
      <c r="G111" s="23" t="n">
        <f aca="false">COUNTIF(E110:E208,"=Default option")</f>
        <v>25</v>
      </c>
      <c r="H111" s="28" t="n">
        <f aca="false">G111/G$117</f>
        <v>0.252525252525253</v>
      </c>
    </row>
    <row r="112" customFormat="false" ht="13.8" hidden="false" customHeight="false" outlineLevel="0" collapsed="false">
      <c r="A112" s="22" t="s">
        <v>294</v>
      </c>
      <c r="B112" s="22" t="s">
        <v>298</v>
      </c>
      <c r="C112" s="22" t="s">
        <v>173</v>
      </c>
      <c r="D112" s="22" t="n">
        <v>3</v>
      </c>
      <c r="E112" s="23" t="s">
        <v>174</v>
      </c>
      <c r="F112" s="27" t="s">
        <v>21</v>
      </c>
      <c r="G112" s="23" t="n">
        <f aca="false">COUNTIF(E110:E208,"=Misunderstood the game")</f>
        <v>14</v>
      </c>
      <c r="H112" s="28" t="n">
        <f aca="false">G112/G$117</f>
        <v>0.141414141414141</v>
      </c>
    </row>
    <row r="113" customFormat="false" ht="13.8" hidden="false" customHeight="false" outlineLevel="0" collapsed="false">
      <c r="A113" s="22" t="s">
        <v>294</v>
      </c>
      <c r="B113" s="22" t="s">
        <v>299</v>
      </c>
      <c r="C113" s="22" t="s">
        <v>173</v>
      </c>
      <c r="D113" s="22" t="n">
        <v>3</v>
      </c>
      <c r="E113" s="23" t="s">
        <v>186</v>
      </c>
      <c r="F113" s="27" t="s">
        <v>182</v>
      </c>
      <c r="G113" s="23" t="n">
        <f aca="false">COUNTIF(E110:E208,"=Market interaction reasoning")</f>
        <v>12</v>
      </c>
      <c r="H113" s="28" t="n">
        <f aca="false">G113/G$117</f>
        <v>0.121212121212121</v>
      </c>
    </row>
    <row r="114" customFormat="false" ht="13.8" hidden="false" customHeight="false" outlineLevel="0" collapsed="false">
      <c r="A114" s="22" t="s">
        <v>294</v>
      </c>
      <c r="B114" s="22" t="s">
        <v>300</v>
      </c>
      <c r="C114" s="22" t="s">
        <v>173</v>
      </c>
      <c r="D114" s="22" t="n">
        <v>3</v>
      </c>
      <c r="E114" s="23" t="s">
        <v>189</v>
      </c>
      <c r="F114" s="27" t="s">
        <v>184</v>
      </c>
      <c r="G114" s="23" t="n">
        <f aca="false">COUNTIF(E110:E208,"=Vague/Insufficient information")</f>
        <v>30</v>
      </c>
      <c r="H114" s="28" t="n">
        <f aca="false">G114/G$117</f>
        <v>0.303030303030303</v>
      </c>
    </row>
    <row r="115" customFormat="false" ht="13.8" hidden="false" customHeight="false" outlineLevel="0" collapsed="false">
      <c r="A115" s="22" t="s">
        <v>294</v>
      </c>
      <c r="B115" s="22" t="s">
        <v>301</v>
      </c>
      <c r="C115" s="22" t="s">
        <v>173</v>
      </c>
      <c r="D115" s="22" t="n">
        <v>3</v>
      </c>
      <c r="E115" s="23" t="s">
        <v>174</v>
      </c>
      <c r="F115" s="27" t="s">
        <v>186</v>
      </c>
      <c r="G115" s="23" t="n">
        <f aca="false">COUNTIF(E110:E208,"=Best")</f>
        <v>4</v>
      </c>
      <c r="H115" s="28" t="n">
        <f aca="false">G115/G$117</f>
        <v>0.0404040404040404</v>
      </c>
    </row>
    <row r="116" customFormat="false" ht="13.8" hidden="false" customHeight="false" outlineLevel="0" collapsed="false">
      <c r="A116" s="22" t="s">
        <v>294</v>
      </c>
      <c r="B116" s="22" t="s">
        <v>302</v>
      </c>
      <c r="C116" s="22" t="s">
        <v>173</v>
      </c>
      <c r="D116" s="22" t="n">
        <v>3</v>
      </c>
      <c r="E116" s="23" t="s">
        <v>189</v>
      </c>
      <c r="F116" s="27" t="s">
        <v>189</v>
      </c>
      <c r="G116" s="23" t="n">
        <f aca="false">COUNTIF(E110:E208,"=Random/Don't know")</f>
        <v>14</v>
      </c>
      <c r="H116" s="28" t="n">
        <f aca="false">G116/G$117</f>
        <v>0.141414141414141</v>
      </c>
    </row>
    <row r="117" customFormat="false" ht="13.8" hidden="false" customHeight="false" outlineLevel="0" collapsed="false">
      <c r="A117" s="22" t="s">
        <v>294</v>
      </c>
      <c r="B117" s="22" t="s">
        <v>303</v>
      </c>
      <c r="C117" s="22" t="s">
        <v>173</v>
      </c>
      <c r="D117" s="22" t="n">
        <v>3</v>
      </c>
      <c r="E117" s="23" t="s">
        <v>174</v>
      </c>
      <c r="F117" s="24" t="s">
        <v>187</v>
      </c>
      <c r="G117" s="25" t="n">
        <f aca="false">SUM(G111:G116)</f>
        <v>99</v>
      </c>
      <c r="H117" s="29" t="n">
        <f aca="false">SUM(H111:H116)</f>
        <v>1</v>
      </c>
    </row>
    <row r="118" customFormat="false" ht="13.8" hidden="false" customHeight="false" outlineLevel="0" collapsed="false">
      <c r="A118" s="22" t="s">
        <v>294</v>
      </c>
      <c r="B118" s="22" t="s">
        <v>304</v>
      </c>
      <c r="C118" s="22" t="s">
        <v>173</v>
      </c>
      <c r="D118" s="22" t="n">
        <v>2</v>
      </c>
      <c r="E118" s="23" t="s">
        <v>184</v>
      </c>
    </row>
    <row r="119" customFormat="false" ht="13.8" hidden="false" customHeight="false" outlineLevel="0" collapsed="false">
      <c r="A119" s="22" t="s">
        <v>294</v>
      </c>
      <c r="B119" s="22" t="s">
        <v>305</v>
      </c>
      <c r="C119" s="22" t="s">
        <v>173</v>
      </c>
      <c r="D119" s="22" t="n">
        <v>3</v>
      </c>
      <c r="E119" s="23" t="s">
        <v>174</v>
      </c>
      <c r="F119" s="23"/>
    </row>
    <row r="120" customFormat="false" ht="13.8" hidden="false" customHeight="false" outlineLevel="0" collapsed="false">
      <c r="A120" s="22" t="s">
        <v>294</v>
      </c>
      <c r="B120" s="22" t="s">
        <v>306</v>
      </c>
      <c r="C120" s="22" t="s">
        <v>173</v>
      </c>
      <c r="D120" s="22" t="n">
        <v>2</v>
      </c>
      <c r="E120" s="23" t="s">
        <v>174</v>
      </c>
      <c r="F120" s="4" t="s">
        <v>307</v>
      </c>
      <c r="G120" s="5" t="s">
        <v>10</v>
      </c>
      <c r="H120" s="6" t="s">
        <v>11</v>
      </c>
    </row>
    <row r="121" customFormat="false" ht="13.8" hidden="false" customHeight="false" outlineLevel="0" collapsed="false">
      <c r="A121" s="22" t="s">
        <v>294</v>
      </c>
      <c r="B121" s="22" t="s">
        <v>308</v>
      </c>
      <c r="C121" s="22" t="s">
        <v>173</v>
      </c>
      <c r="D121" s="22" t="n">
        <v>2</v>
      </c>
      <c r="E121" s="23" t="s">
        <v>186</v>
      </c>
      <c r="F121" s="4" t="n">
        <v>0</v>
      </c>
      <c r="G121" s="5" t="n">
        <f aca="false">COUNTIF(D$110:D$208,"=0")</f>
        <v>13</v>
      </c>
      <c r="H121" s="7" t="n">
        <f aca="false">G121/G$125</f>
        <v>0.131313131313131</v>
      </c>
    </row>
    <row r="122" customFormat="false" ht="13.8" hidden="false" customHeight="false" outlineLevel="0" collapsed="false">
      <c r="A122" s="22" t="s">
        <v>294</v>
      </c>
      <c r="B122" s="22" t="s">
        <v>309</v>
      </c>
      <c r="C122" s="22" t="s">
        <v>173</v>
      </c>
      <c r="D122" s="22" t="n">
        <v>3</v>
      </c>
      <c r="E122" s="23" t="s">
        <v>174</v>
      </c>
      <c r="F122" s="8" t="n">
        <v>1</v>
      </c>
      <c r="G122" s="0" t="n">
        <f aca="false">COUNTIF(D$110:D$208,"=1")</f>
        <v>5</v>
      </c>
      <c r="H122" s="10" t="n">
        <f aca="false">G122/G$125</f>
        <v>0.0505050505050505</v>
      </c>
    </row>
    <row r="123" customFormat="false" ht="13.8" hidden="false" customHeight="false" outlineLevel="0" collapsed="false">
      <c r="A123" s="22" t="s">
        <v>294</v>
      </c>
      <c r="B123" s="22" t="s">
        <v>310</v>
      </c>
      <c r="C123" s="22" t="s">
        <v>173</v>
      </c>
      <c r="D123" s="22" t="n">
        <v>2</v>
      </c>
      <c r="E123" s="23" t="s">
        <v>184</v>
      </c>
      <c r="F123" s="8" t="n">
        <v>2</v>
      </c>
      <c r="G123" s="0" t="n">
        <f aca="false">COUNTIF(D$110:D$208,"=2")</f>
        <v>37</v>
      </c>
      <c r="H123" s="10" t="n">
        <f aca="false">G123/G$125</f>
        <v>0.373737373737374</v>
      </c>
    </row>
    <row r="124" customFormat="false" ht="13.8" hidden="false" customHeight="false" outlineLevel="0" collapsed="false">
      <c r="A124" s="22" t="s">
        <v>294</v>
      </c>
      <c r="B124" s="22" t="s">
        <v>311</v>
      </c>
      <c r="C124" s="22" t="s">
        <v>173</v>
      </c>
      <c r="D124" s="22" t="n">
        <v>3</v>
      </c>
      <c r="E124" s="23" t="s">
        <v>182</v>
      </c>
      <c r="F124" s="11" t="n">
        <v>3</v>
      </c>
      <c r="G124" s="12" t="n">
        <f aca="false">COUNTIF(D$110:D$208,"=3")</f>
        <v>44</v>
      </c>
      <c r="H124" s="13" t="n">
        <f aca="false">G124/G$125</f>
        <v>0.444444444444444</v>
      </c>
    </row>
    <row r="125" customFormat="false" ht="13.8" hidden="false" customHeight="false" outlineLevel="0" collapsed="false">
      <c r="A125" s="22" t="s">
        <v>294</v>
      </c>
      <c r="B125" s="22" t="s">
        <v>312</v>
      </c>
      <c r="C125" s="22" t="s">
        <v>173</v>
      </c>
      <c r="D125" s="22" t="n">
        <v>3</v>
      </c>
      <c r="E125" s="23" t="s">
        <v>184</v>
      </c>
      <c r="F125" s="14" t="s">
        <v>187</v>
      </c>
      <c r="G125" s="12" t="n">
        <f aca="false">SUM(G121:G124)</f>
        <v>99</v>
      </c>
      <c r="H125" s="15" t="n">
        <f aca="false">SUM(H121:H124)</f>
        <v>1</v>
      </c>
    </row>
    <row r="126" customFormat="false" ht="13.8" hidden="false" customHeight="false" outlineLevel="0" collapsed="false">
      <c r="A126" s="22" t="s">
        <v>294</v>
      </c>
      <c r="B126" s="22" t="s">
        <v>313</v>
      </c>
      <c r="C126" s="22" t="s">
        <v>173</v>
      </c>
      <c r="D126" s="22" t="n">
        <v>3</v>
      </c>
      <c r="E126" s="23" t="s">
        <v>174</v>
      </c>
    </row>
    <row r="127" customFormat="false" ht="13.8" hidden="false" customHeight="false" outlineLevel="0" collapsed="false">
      <c r="A127" s="22" t="s">
        <v>294</v>
      </c>
      <c r="B127" s="22" t="s">
        <v>314</v>
      </c>
      <c r="C127" s="22" t="s">
        <v>173</v>
      </c>
      <c r="D127" s="22" t="n">
        <v>3</v>
      </c>
      <c r="E127" s="23" t="s">
        <v>174</v>
      </c>
    </row>
    <row r="128" customFormat="false" ht="13.8" hidden="false" customHeight="false" outlineLevel="0" collapsed="false">
      <c r="A128" s="22" t="s">
        <v>294</v>
      </c>
      <c r="B128" s="22" t="s">
        <v>315</v>
      </c>
      <c r="C128" s="22" t="s">
        <v>173</v>
      </c>
      <c r="D128" s="22" t="n">
        <v>3</v>
      </c>
      <c r="E128" s="23" t="s">
        <v>174</v>
      </c>
    </row>
    <row r="129" customFormat="false" ht="13.8" hidden="false" customHeight="false" outlineLevel="0" collapsed="false">
      <c r="A129" s="22" t="s">
        <v>294</v>
      </c>
      <c r="B129" s="22" t="s">
        <v>316</v>
      </c>
      <c r="C129" s="22" t="s">
        <v>173</v>
      </c>
      <c r="D129" s="22" t="n">
        <v>2</v>
      </c>
      <c r="E129" s="23" t="s">
        <v>184</v>
      </c>
    </row>
    <row r="130" customFormat="false" ht="13.8" hidden="false" customHeight="false" outlineLevel="0" collapsed="false">
      <c r="A130" s="22" t="s">
        <v>294</v>
      </c>
      <c r="B130" s="22" t="s">
        <v>317</v>
      </c>
      <c r="C130" s="22" t="s">
        <v>173</v>
      </c>
      <c r="D130" s="22" t="n">
        <v>2</v>
      </c>
      <c r="E130" s="23" t="s">
        <v>21</v>
      </c>
    </row>
    <row r="131" customFormat="false" ht="13.8" hidden="false" customHeight="false" outlineLevel="0" collapsed="false">
      <c r="A131" s="22" t="s">
        <v>294</v>
      </c>
      <c r="B131" s="22" t="s">
        <v>318</v>
      </c>
      <c r="C131" s="22" t="s">
        <v>173</v>
      </c>
      <c r="D131" s="22" t="n">
        <v>3</v>
      </c>
      <c r="E131" s="23" t="s">
        <v>174</v>
      </c>
    </row>
    <row r="132" customFormat="false" ht="13.8" hidden="false" customHeight="false" outlineLevel="0" collapsed="false">
      <c r="A132" s="22" t="s">
        <v>294</v>
      </c>
      <c r="B132" s="22" t="s">
        <v>319</v>
      </c>
      <c r="C132" s="22" t="s">
        <v>173</v>
      </c>
      <c r="D132" s="22" t="n">
        <v>0</v>
      </c>
      <c r="E132" s="23" t="s">
        <v>189</v>
      </c>
    </row>
    <row r="133" customFormat="false" ht="13.8" hidden="false" customHeight="false" outlineLevel="0" collapsed="false">
      <c r="A133" s="22" t="s">
        <v>294</v>
      </c>
      <c r="B133" s="33" t="s">
        <v>320</v>
      </c>
      <c r="C133" s="22" t="s">
        <v>173</v>
      </c>
      <c r="D133" s="22" t="n">
        <v>3</v>
      </c>
      <c r="E133" s="23" t="s">
        <v>184</v>
      </c>
    </row>
    <row r="134" customFormat="false" ht="13.8" hidden="false" customHeight="false" outlineLevel="0" collapsed="false">
      <c r="A134" s="22" t="s">
        <v>294</v>
      </c>
      <c r="B134" s="22" t="s">
        <v>321</v>
      </c>
      <c r="C134" s="22" t="s">
        <v>173</v>
      </c>
      <c r="D134" s="22" t="n">
        <v>0</v>
      </c>
      <c r="E134" s="23" t="s">
        <v>21</v>
      </c>
    </row>
    <row r="135" customFormat="false" ht="13.8" hidden="false" customHeight="false" outlineLevel="0" collapsed="false">
      <c r="A135" s="22" t="s">
        <v>294</v>
      </c>
      <c r="B135" s="22" t="s">
        <v>322</v>
      </c>
      <c r="C135" s="22" t="s">
        <v>173</v>
      </c>
      <c r="D135" s="22" t="n">
        <v>2</v>
      </c>
      <c r="E135" s="23" t="s">
        <v>182</v>
      </c>
    </row>
    <row r="136" customFormat="false" ht="13.8" hidden="false" customHeight="false" outlineLevel="0" collapsed="false">
      <c r="A136" s="22" t="s">
        <v>294</v>
      </c>
      <c r="B136" s="22" t="s">
        <v>323</v>
      </c>
      <c r="C136" s="22" t="s">
        <v>173</v>
      </c>
      <c r="D136" s="22" t="n">
        <v>2</v>
      </c>
      <c r="E136" s="23" t="s">
        <v>184</v>
      </c>
    </row>
    <row r="137" customFormat="false" ht="13.8" hidden="false" customHeight="false" outlineLevel="0" collapsed="false">
      <c r="A137" s="22" t="s">
        <v>294</v>
      </c>
      <c r="B137" s="22" t="s">
        <v>324</v>
      </c>
      <c r="C137" s="22" t="s">
        <v>173</v>
      </c>
      <c r="D137" s="22" t="n">
        <v>2</v>
      </c>
      <c r="E137" s="23" t="s">
        <v>182</v>
      </c>
    </row>
    <row r="138" customFormat="false" ht="13.8" hidden="false" customHeight="false" outlineLevel="0" collapsed="false">
      <c r="A138" s="22" t="s">
        <v>294</v>
      </c>
      <c r="B138" s="22" t="s">
        <v>325</v>
      </c>
      <c r="C138" s="22" t="s">
        <v>173</v>
      </c>
      <c r="D138" s="22" t="n">
        <v>2</v>
      </c>
      <c r="E138" s="23" t="s">
        <v>182</v>
      </c>
    </row>
    <row r="139" customFormat="false" ht="13.8" hidden="false" customHeight="false" outlineLevel="0" collapsed="false">
      <c r="A139" s="22" t="s">
        <v>294</v>
      </c>
      <c r="B139" s="22" t="s">
        <v>326</v>
      </c>
      <c r="C139" s="22" t="s">
        <v>173</v>
      </c>
      <c r="D139" s="22" t="n">
        <v>3</v>
      </c>
      <c r="E139" s="23" t="s">
        <v>174</v>
      </c>
    </row>
    <row r="140" customFormat="false" ht="13.8" hidden="false" customHeight="false" outlineLevel="0" collapsed="false">
      <c r="A140" s="22" t="s">
        <v>294</v>
      </c>
      <c r="B140" s="22" t="s">
        <v>327</v>
      </c>
      <c r="C140" s="22" t="s">
        <v>173</v>
      </c>
      <c r="D140" s="22" t="n">
        <v>2</v>
      </c>
      <c r="E140" s="23" t="s">
        <v>182</v>
      </c>
    </row>
    <row r="141" customFormat="false" ht="13.8" hidden="false" customHeight="false" outlineLevel="0" collapsed="false">
      <c r="A141" s="22" t="s">
        <v>294</v>
      </c>
      <c r="B141" s="22" t="s">
        <v>328</v>
      </c>
      <c r="C141" s="22" t="s">
        <v>173</v>
      </c>
      <c r="D141" s="22" t="n">
        <v>0</v>
      </c>
      <c r="E141" s="23" t="s">
        <v>189</v>
      </c>
    </row>
    <row r="142" customFormat="false" ht="13.8" hidden="false" customHeight="false" outlineLevel="0" collapsed="false">
      <c r="A142" s="22" t="s">
        <v>294</v>
      </c>
      <c r="B142" s="22" t="s">
        <v>329</v>
      </c>
      <c r="C142" s="22" t="s">
        <v>173</v>
      </c>
      <c r="D142" s="22" t="n">
        <v>2</v>
      </c>
      <c r="E142" s="23" t="s">
        <v>184</v>
      </c>
    </row>
    <row r="143" customFormat="false" ht="13.8" hidden="false" customHeight="false" outlineLevel="0" collapsed="false">
      <c r="A143" s="22" t="s">
        <v>294</v>
      </c>
      <c r="B143" s="22" t="s">
        <v>330</v>
      </c>
      <c r="C143" s="22" t="s">
        <v>173</v>
      </c>
      <c r="D143" s="22" t="n">
        <v>3</v>
      </c>
      <c r="E143" s="23" t="s">
        <v>184</v>
      </c>
    </row>
    <row r="144" customFormat="false" ht="13.8" hidden="false" customHeight="false" outlineLevel="0" collapsed="false">
      <c r="A144" s="22" t="s">
        <v>294</v>
      </c>
      <c r="B144" s="22" t="s">
        <v>331</v>
      </c>
      <c r="C144" s="22" t="s">
        <v>173</v>
      </c>
      <c r="D144" s="22" t="n">
        <v>3</v>
      </c>
      <c r="E144" s="23" t="s">
        <v>174</v>
      </c>
    </row>
    <row r="145" customFormat="false" ht="13.8" hidden="false" customHeight="false" outlineLevel="0" collapsed="false">
      <c r="A145" s="22" t="s">
        <v>294</v>
      </c>
      <c r="B145" s="22" t="s">
        <v>332</v>
      </c>
      <c r="C145" s="22" t="s">
        <v>173</v>
      </c>
      <c r="D145" s="22" t="n">
        <v>0</v>
      </c>
      <c r="E145" s="23" t="s">
        <v>189</v>
      </c>
    </row>
    <row r="146" customFormat="false" ht="13.8" hidden="false" customHeight="false" outlineLevel="0" collapsed="false">
      <c r="A146" s="22" t="s">
        <v>294</v>
      </c>
      <c r="B146" s="22" t="s">
        <v>333</v>
      </c>
      <c r="C146" s="22" t="s">
        <v>173</v>
      </c>
      <c r="D146" s="22" t="n">
        <v>2</v>
      </c>
      <c r="E146" s="23" t="s">
        <v>184</v>
      </c>
    </row>
    <row r="147" customFormat="false" ht="13.8" hidden="false" customHeight="false" outlineLevel="0" collapsed="false">
      <c r="A147" s="22" t="s">
        <v>294</v>
      </c>
      <c r="B147" s="22" t="s">
        <v>334</v>
      </c>
      <c r="C147" s="22" t="s">
        <v>173</v>
      </c>
      <c r="D147" s="22" t="n">
        <v>2</v>
      </c>
      <c r="E147" s="23" t="s">
        <v>21</v>
      </c>
    </row>
    <row r="148" customFormat="false" ht="13.8" hidden="false" customHeight="false" outlineLevel="0" collapsed="false">
      <c r="A148" s="22" t="s">
        <v>294</v>
      </c>
      <c r="B148" s="22" t="s">
        <v>335</v>
      </c>
      <c r="C148" s="22" t="s">
        <v>173</v>
      </c>
      <c r="D148" s="22" t="n">
        <v>1</v>
      </c>
      <c r="E148" s="23" t="s">
        <v>184</v>
      </c>
    </row>
    <row r="149" customFormat="false" ht="13.8" hidden="false" customHeight="false" outlineLevel="0" collapsed="false">
      <c r="A149" s="22" t="s">
        <v>294</v>
      </c>
      <c r="B149" s="22" t="s">
        <v>336</v>
      </c>
      <c r="C149" s="22" t="s">
        <v>173</v>
      </c>
      <c r="D149" s="22" t="n">
        <v>2</v>
      </c>
      <c r="E149" s="23" t="s">
        <v>174</v>
      </c>
    </row>
    <row r="150" customFormat="false" ht="13.8" hidden="false" customHeight="false" outlineLevel="0" collapsed="false">
      <c r="A150" s="22" t="s">
        <v>294</v>
      </c>
      <c r="B150" s="22" t="s">
        <v>337</v>
      </c>
      <c r="C150" s="22" t="s">
        <v>173</v>
      </c>
      <c r="D150" s="22" t="n">
        <v>1</v>
      </c>
      <c r="E150" s="23" t="s">
        <v>189</v>
      </c>
    </row>
    <row r="151" customFormat="false" ht="13.8" hidden="false" customHeight="false" outlineLevel="0" collapsed="false">
      <c r="A151" s="22" t="s">
        <v>294</v>
      </c>
      <c r="B151" s="22" t="s">
        <v>338</v>
      </c>
      <c r="C151" s="22" t="s">
        <v>173</v>
      </c>
      <c r="D151" s="22" t="n">
        <v>2</v>
      </c>
      <c r="E151" s="23" t="s">
        <v>184</v>
      </c>
    </row>
    <row r="152" customFormat="false" ht="13.8" hidden="false" customHeight="false" outlineLevel="0" collapsed="false">
      <c r="A152" s="22" t="s">
        <v>294</v>
      </c>
      <c r="B152" s="22" t="s">
        <v>339</v>
      </c>
      <c r="C152" s="22" t="s">
        <v>173</v>
      </c>
      <c r="D152" s="22" t="n">
        <v>3</v>
      </c>
      <c r="E152" s="23" t="s">
        <v>186</v>
      </c>
    </row>
    <row r="153" customFormat="false" ht="13.8" hidden="false" customHeight="false" outlineLevel="0" collapsed="false">
      <c r="A153" s="22" t="s">
        <v>294</v>
      </c>
      <c r="B153" s="22" t="s">
        <v>340</v>
      </c>
      <c r="C153" s="22" t="s">
        <v>173</v>
      </c>
      <c r="D153" s="22" t="n">
        <v>3</v>
      </c>
      <c r="E153" s="23" t="s">
        <v>184</v>
      </c>
    </row>
    <row r="154" customFormat="false" ht="13.8" hidden="false" customHeight="false" outlineLevel="0" collapsed="false">
      <c r="A154" s="22" t="s">
        <v>294</v>
      </c>
      <c r="B154" s="22" t="s">
        <v>341</v>
      </c>
      <c r="C154" s="22" t="s">
        <v>173</v>
      </c>
      <c r="D154" s="22" t="n">
        <v>3</v>
      </c>
      <c r="E154" s="23" t="s">
        <v>174</v>
      </c>
    </row>
    <row r="155" customFormat="false" ht="13.8" hidden="false" customHeight="false" outlineLevel="0" collapsed="false">
      <c r="A155" s="22" t="s">
        <v>294</v>
      </c>
      <c r="B155" s="22" t="s">
        <v>342</v>
      </c>
      <c r="C155" s="22" t="s">
        <v>173</v>
      </c>
      <c r="D155" s="22" t="n">
        <v>1</v>
      </c>
      <c r="E155" s="23" t="s">
        <v>184</v>
      </c>
    </row>
    <row r="156" customFormat="false" ht="13.8" hidden="false" customHeight="false" outlineLevel="0" collapsed="false">
      <c r="A156" s="22" t="s">
        <v>294</v>
      </c>
      <c r="B156" s="22" t="s">
        <v>343</v>
      </c>
      <c r="C156" s="22" t="s">
        <v>173</v>
      </c>
      <c r="D156" s="22" t="n">
        <v>2</v>
      </c>
      <c r="E156" s="23" t="s">
        <v>21</v>
      </c>
    </row>
    <row r="157" customFormat="false" ht="13.8" hidden="false" customHeight="false" outlineLevel="0" collapsed="false">
      <c r="A157" s="22" t="s">
        <v>294</v>
      </c>
      <c r="B157" s="22" t="s">
        <v>344</v>
      </c>
      <c r="C157" s="22" t="s">
        <v>173</v>
      </c>
      <c r="D157" s="22" t="n">
        <v>1</v>
      </c>
      <c r="E157" s="23" t="s">
        <v>184</v>
      </c>
    </row>
    <row r="158" customFormat="false" ht="13.8" hidden="false" customHeight="false" outlineLevel="0" collapsed="false">
      <c r="A158" s="22" t="s">
        <v>294</v>
      </c>
      <c r="B158" s="22" t="s">
        <v>345</v>
      </c>
      <c r="C158" s="22" t="s">
        <v>173</v>
      </c>
      <c r="D158" s="22" t="n">
        <v>2</v>
      </c>
      <c r="E158" s="23" t="s">
        <v>182</v>
      </c>
    </row>
    <row r="159" customFormat="false" ht="13.8" hidden="false" customHeight="false" outlineLevel="0" collapsed="false">
      <c r="A159" s="22" t="s">
        <v>294</v>
      </c>
      <c r="B159" s="22" t="s">
        <v>346</v>
      </c>
      <c r="C159" s="22" t="s">
        <v>173</v>
      </c>
      <c r="D159" s="22" t="n">
        <v>0</v>
      </c>
      <c r="E159" s="23" t="s">
        <v>21</v>
      </c>
    </row>
    <row r="160" customFormat="false" ht="13.8" hidden="false" customHeight="false" outlineLevel="0" collapsed="false">
      <c r="A160" s="22" t="s">
        <v>294</v>
      </c>
      <c r="B160" s="22" t="s">
        <v>347</v>
      </c>
      <c r="C160" s="22" t="s">
        <v>173</v>
      </c>
      <c r="D160" s="22" t="n">
        <v>2</v>
      </c>
      <c r="E160" s="23" t="s">
        <v>21</v>
      </c>
    </row>
    <row r="161" customFormat="false" ht="13.8" hidden="false" customHeight="false" outlineLevel="0" collapsed="false">
      <c r="A161" s="22" t="s">
        <v>294</v>
      </c>
      <c r="B161" s="22" t="s">
        <v>348</v>
      </c>
      <c r="C161" s="22" t="s">
        <v>173</v>
      </c>
      <c r="D161" s="22" t="n">
        <v>2</v>
      </c>
      <c r="E161" s="23" t="s">
        <v>184</v>
      </c>
    </row>
    <row r="162" customFormat="false" ht="13.8" hidden="false" customHeight="false" outlineLevel="0" collapsed="false">
      <c r="A162" s="22" t="s">
        <v>294</v>
      </c>
      <c r="B162" s="22" t="s">
        <v>349</v>
      </c>
      <c r="C162" s="22" t="s">
        <v>173</v>
      </c>
      <c r="D162" s="22" t="n">
        <v>3</v>
      </c>
      <c r="E162" s="23" t="s">
        <v>174</v>
      </c>
    </row>
    <row r="163" customFormat="false" ht="13.8" hidden="false" customHeight="false" outlineLevel="0" collapsed="false">
      <c r="A163" s="22" t="s">
        <v>294</v>
      </c>
      <c r="B163" s="22" t="s">
        <v>181</v>
      </c>
      <c r="C163" s="22" t="s">
        <v>173</v>
      </c>
      <c r="D163" s="22" t="n">
        <v>3</v>
      </c>
      <c r="E163" s="23" t="s">
        <v>174</v>
      </c>
    </row>
    <row r="164" customFormat="false" ht="13.8" hidden="false" customHeight="false" outlineLevel="0" collapsed="false">
      <c r="A164" s="22" t="s">
        <v>294</v>
      </c>
      <c r="B164" s="22" t="s">
        <v>350</v>
      </c>
      <c r="C164" s="22" t="s">
        <v>173</v>
      </c>
      <c r="D164" s="22" t="n">
        <v>3</v>
      </c>
      <c r="E164" s="23" t="s">
        <v>174</v>
      </c>
    </row>
    <row r="165" customFormat="false" ht="13.8" hidden="false" customHeight="false" outlineLevel="0" collapsed="false">
      <c r="A165" s="22" t="s">
        <v>294</v>
      </c>
      <c r="B165" s="22" t="s">
        <v>351</v>
      </c>
      <c r="C165" s="22" t="s">
        <v>173</v>
      </c>
      <c r="D165" s="22" t="n">
        <v>2</v>
      </c>
      <c r="E165" s="23" t="s">
        <v>21</v>
      </c>
    </row>
    <row r="166" customFormat="false" ht="13.8" hidden="false" customHeight="false" outlineLevel="0" collapsed="false">
      <c r="A166" s="22" t="s">
        <v>294</v>
      </c>
      <c r="B166" s="22" t="s">
        <v>352</v>
      </c>
      <c r="C166" s="22" t="s">
        <v>173</v>
      </c>
      <c r="D166" s="22" t="n">
        <v>2</v>
      </c>
      <c r="E166" s="23" t="s">
        <v>174</v>
      </c>
    </row>
    <row r="167" customFormat="false" ht="13.8" hidden="false" customHeight="false" outlineLevel="0" collapsed="false">
      <c r="A167" s="22" t="s">
        <v>294</v>
      </c>
      <c r="B167" s="22" t="s">
        <v>353</v>
      </c>
      <c r="C167" s="22" t="s">
        <v>173</v>
      </c>
      <c r="D167" s="22" t="n">
        <v>3</v>
      </c>
      <c r="E167" s="23" t="s">
        <v>184</v>
      </c>
    </row>
    <row r="168" customFormat="false" ht="13.8" hidden="false" customHeight="false" outlineLevel="0" collapsed="false">
      <c r="A168" s="22" t="s">
        <v>294</v>
      </c>
      <c r="B168" s="22" t="s">
        <v>354</v>
      </c>
      <c r="C168" s="22" t="s">
        <v>173</v>
      </c>
      <c r="D168" s="22" t="n">
        <v>0</v>
      </c>
      <c r="E168" s="23" t="s">
        <v>21</v>
      </c>
    </row>
    <row r="169" customFormat="false" ht="13.8" hidden="false" customHeight="false" outlineLevel="0" collapsed="false">
      <c r="A169" s="22" t="s">
        <v>294</v>
      </c>
      <c r="B169" s="22" t="s">
        <v>355</v>
      </c>
      <c r="C169" s="22" t="s">
        <v>173</v>
      </c>
      <c r="D169" s="22" t="n">
        <v>3</v>
      </c>
      <c r="E169" s="23" t="s">
        <v>21</v>
      </c>
    </row>
    <row r="170" customFormat="false" ht="13.8" hidden="false" customHeight="false" outlineLevel="0" collapsed="false">
      <c r="A170" s="22" t="s">
        <v>294</v>
      </c>
      <c r="B170" s="22" t="s">
        <v>356</v>
      </c>
      <c r="C170" s="22" t="s">
        <v>173</v>
      </c>
      <c r="D170" s="22" t="n">
        <v>2</v>
      </c>
      <c r="E170" s="23" t="s">
        <v>184</v>
      </c>
    </row>
    <row r="171" customFormat="false" ht="13.8" hidden="false" customHeight="false" outlineLevel="0" collapsed="false">
      <c r="A171" s="22" t="s">
        <v>294</v>
      </c>
      <c r="B171" s="22" t="s">
        <v>357</v>
      </c>
      <c r="C171" s="22" t="s">
        <v>173</v>
      </c>
      <c r="D171" s="22" t="n">
        <v>2</v>
      </c>
      <c r="E171" s="23" t="s">
        <v>21</v>
      </c>
    </row>
    <row r="172" customFormat="false" ht="13.8" hidden="false" customHeight="false" outlineLevel="0" collapsed="false">
      <c r="A172" s="22" t="s">
        <v>294</v>
      </c>
      <c r="B172" s="22" t="s">
        <v>358</v>
      </c>
      <c r="C172" s="22" t="s">
        <v>173</v>
      </c>
      <c r="D172" s="22" t="n">
        <v>2</v>
      </c>
      <c r="E172" s="23" t="s">
        <v>182</v>
      </c>
    </row>
    <row r="173" customFormat="false" ht="13.8" hidden="false" customHeight="false" outlineLevel="0" collapsed="false">
      <c r="A173" s="22" t="s">
        <v>294</v>
      </c>
      <c r="B173" s="22" t="s">
        <v>359</v>
      </c>
      <c r="C173" s="22" t="s">
        <v>173</v>
      </c>
      <c r="D173" s="22" t="n">
        <v>2</v>
      </c>
      <c r="E173" s="23" t="s">
        <v>184</v>
      </c>
    </row>
    <row r="174" customFormat="false" ht="13.8" hidden="false" customHeight="false" outlineLevel="0" collapsed="false">
      <c r="A174" s="22" t="s">
        <v>294</v>
      </c>
      <c r="B174" s="22" t="s">
        <v>360</v>
      </c>
      <c r="C174" s="22" t="s">
        <v>173</v>
      </c>
      <c r="D174" s="22" t="n">
        <v>2</v>
      </c>
      <c r="E174" s="23" t="s">
        <v>182</v>
      </c>
    </row>
    <row r="175" customFormat="false" ht="13.8" hidden="false" customHeight="false" outlineLevel="0" collapsed="false">
      <c r="A175" s="22" t="s">
        <v>294</v>
      </c>
      <c r="B175" s="22" t="s">
        <v>361</v>
      </c>
      <c r="C175" s="22" t="s">
        <v>173</v>
      </c>
      <c r="D175" s="22" t="n">
        <v>2</v>
      </c>
      <c r="E175" s="23" t="s">
        <v>189</v>
      </c>
    </row>
    <row r="176" customFormat="false" ht="13.8" hidden="false" customHeight="false" outlineLevel="0" collapsed="false">
      <c r="A176" s="22" t="s">
        <v>294</v>
      </c>
      <c r="B176" s="22" t="s">
        <v>362</v>
      </c>
      <c r="C176" s="22" t="s">
        <v>173</v>
      </c>
      <c r="D176" s="22" t="n">
        <v>3</v>
      </c>
      <c r="E176" s="23" t="s">
        <v>174</v>
      </c>
    </row>
    <row r="177" customFormat="false" ht="13.8" hidden="false" customHeight="false" outlineLevel="0" collapsed="false">
      <c r="A177" s="22" t="s">
        <v>294</v>
      </c>
      <c r="B177" s="22" t="s">
        <v>363</v>
      </c>
      <c r="C177" s="22" t="s">
        <v>173</v>
      </c>
      <c r="D177" s="22" t="n">
        <v>3</v>
      </c>
      <c r="E177" s="23" t="s">
        <v>189</v>
      </c>
    </row>
    <row r="178" customFormat="false" ht="13.8" hidden="false" customHeight="false" outlineLevel="0" collapsed="false">
      <c r="A178" s="22" t="s">
        <v>294</v>
      </c>
      <c r="B178" s="22" t="s">
        <v>364</v>
      </c>
      <c r="C178" s="22" t="s">
        <v>173</v>
      </c>
      <c r="D178" s="22" t="n">
        <v>3</v>
      </c>
      <c r="E178" s="23" t="s">
        <v>174</v>
      </c>
    </row>
    <row r="179" customFormat="false" ht="13.8" hidden="false" customHeight="false" outlineLevel="0" collapsed="false">
      <c r="A179" s="22" t="s">
        <v>294</v>
      </c>
      <c r="B179" s="22" t="s">
        <v>365</v>
      </c>
      <c r="C179" s="22" t="s">
        <v>173</v>
      </c>
      <c r="D179" s="22" t="n">
        <v>3</v>
      </c>
      <c r="E179" s="23" t="s">
        <v>182</v>
      </c>
    </row>
    <row r="180" customFormat="false" ht="13.8" hidden="false" customHeight="false" outlineLevel="0" collapsed="false">
      <c r="A180" s="22" t="s">
        <v>294</v>
      </c>
      <c r="B180" s="22" t="s">
        <v>366</v>
      </c>
      <c r="C180" s="22" t="s">
        <v>173</v>
      </c>
      <c r="D180" s="22" t="n">
        <v>3</v>
      </c>
      <c r="E180" s="23" t="s">
        <v>174</v>
      </c>
    </row>
    <row r="181" customFormat="false" ht="13.8" hidden="false" customHeight="false" outlineLevel="0" collapsed="false">
      <c r="A181" s="22" t="s">
        <v>294</v>
      </c>
      <c r="B181" s="22" t="s">
        <v>367</v>
      </c>
      <c r="C181" s="22" t="s">
        <v>173</v>
      </c>
      <c r="D181" s="22" t="n">
        <v>3</v>
      </c>
      <c r="E181" s="23" t="s">
        <v>21</v>
      </c>
    </row>
    <row r="182" customFormat="false" ht="13.8" hidden="false" customHeight="false" outlineLevel="0" collapsed="false">
      <c r="A182" s="22" t="s">
        <v>294</v>
      </c>
      <c r="B182" s="22" t="s">
        <v>368</v>
      </c>
      <c r="C182" s="22" t="s">
        <v>173</v>
      </c>
      <c r="D182" s="22" t="n">
        <v>3</v>
      </c>
      <c r="E182" s="23" t="s">
        <v>21</v>
      </c>
    </row>
    <row r="183" customFormat="false" ht="13.8" hidden="false" customHeight="false" outlineLevel="0" collapsed="false">
      <c r="A183" s="22" t="s">
        <v>294</v>
      </c>
      <c r="B183" s="22" t="s">
        <v>369</v>
      </c>
      <c r="C183" s="22" t="s">
        <v>173</v>
      </c>
      <c r="D183" s="22" t="n">
        <v>0</v>
      </c>
      <c r="E183" s="23" t="s">
        <v>189</v>
      </c>
    </row>
    <row r="184" customFormat="false" ht="13.8" hidden="false" customHeight="false" outlineLevel="0" collapsed="false">
      <c r="A184" s="22" t="s">
        <v>294</v>
      </c>
      <c r="B184" s="22" t="s">
        <v>370</v>
      </c>
      <c r="C184" s="22" t="s">
        <v>173</v>
      </c>
      <c r="D184" s="22" t="n">
        <v>3</v>
      </c>
      <c r="E184" s="23" t="s">
        <v>182</v>
      </c>
    </row>
    <row r="185" customFormat="false" ht="13.8" hidden="false" customHeight="false" outlineLevel="0" collapsed="false">
      <c r="A185" s="22" t="s">
        <v>294</v>
      </c>
      <c r="B185" s="22" t="s">
        <v>371</v>
      </c>
      <c r="C185" s="22" t="s">
        <v>173</v>
      </c>
      <c r="D185" s="22" t="n">
        <v>2</v>
      </c>
      <c r="E185" s="23" t="s">
        <v>189</v>
      </c>
    </row>
    <row r="186" customFormat="false" ht="13.8" hidden="false" customHeight="false" outlineLevel="0" collapsed="false">
      <c r="A186" s="22" t="s">
        <v>294</v>
      </c>
      <c r="B186" s="22" t="s">
        <v>372</v>
      </c>
      <c r="C186" s="22" t="s">
        <v>173</v>
      </c>
      <c r="D186" s="22" t="n">
        <v>3</v>
      </c>
      <c r="E186" s="23" t="s">
        <v>182</v>
      </c>
    </row>
    <row r="187" customFormat="false" ht="13.8" hidden="false" customHeight="false" outlineLevel="0" collapsed="false">
      <c r="A187" s="22" t="s">
        <v>294</v>
      </c>
      <c r="B187" s="22" t="s">
        <v>373</v>
      </c>
      <c r="C187" s="22" t="s">
        <v>173</v>
      </c>
      <c r="D187" s="22" t="n">
        <v>3</v>
      </c>
      <c r="E187" s="23" t="s">
        <v>184</v>
      </c>
    </row>
    <row r="188" customFormat="false" ht="13.8" hidden="false" customHeight="false" outlineLevel="0" collapsed="false">
      <c r="A188" s="22" t="s">
        <v>294</v>
      </c>
      <c r="B188" s="22" t="s">
        <v>374</v>
      </c>
      <c r="C188" s="22" t="s">
        <v>173</v>
      </c>
      <c r="D188" s="22" t="n">
        <v>3</v>
      </c>
      <c r="E188" s="23" t="s">
        <v>174</v>
      </c>
    </row>
    <row r="189" customFormat="false" ht="13.8" hidden="false" customHeight="false" outlineLevel="0" collapsed="false">
      <c r="A189" s="22" t="s">
        <v>294</v>
      </c>
      <c r="B189" s="22" t="s">
        <v>375</v>
      </c>
      <c r="C189" s="22" t="s">
        <v>173</v>
      </c>
      <c r="D189" s="22" t="n">
        <v>0</v>
      </c>
      <c r="E189" s="23" t="s">
        <v>189</v>
      </c>
    </row>
    <row r="190" customFormat="false" ht="13.8" hidden="false" customHeight="false" outlineLevel="0" collapsed="false">
      <c r="A190" s="22" t="s">
        <v>294</v>
      </c>
      <c r="B190" s="22" t="s">
        <v>376</v>
      </c>
      <c r="C190" s="22" t="s">
        <v>173</v>
      </c>
      <c r="D190" s="22" t="n">
        <v>0</v>
      </c>
      <c r="E190" s="23" t="s">
        <v>184</v>
      </c>
    </row>
    <row r="191" customFormat="false" ht="13.8" hidden="false" customHeight="false" outlineLevel="0" collapsed="false">
      <c r="A191" s="22" t="s">
        <v>294</v>
      </c>
      <c r="B191" s="22" t="s">
        <v>377</v>
      </c>
      <c r="C191" s="22" t="s">
        <v>173</v>
      </c>
      <c r="D191" s="22" t="n">
        <v>0</v>
      </c>
      <c r="E191" s="23" t="s">
        <v>189</v>
      </c>
    </row>
    <row r="192" customFormat="false" ht="13.8" hidden="false" customHeight="false" outlineLevel="0" collapsed="false">
      <c r="A192" s="22" t="s">
        <v>294</v>
      </c>
      <c r="B192" s="22" t="s">
        <v>378</v>
      </c>
      <c r="C192" s="22" t="s">
        <v>173</v>
      </c>
      <c r="D192" s="22" t="n">
        <v>2</v>
      </c>
      <c r="E192" s="23" t="s">
        <v>184</v>
      </c>
    </row>
    <row r="193" customFormat="false" ht="13.8" hidden="false" customHeight="false" outlineLevel="0" collapsed="false">
      <c r="A193" s="22" t="s">
        <v>294</v>
      </c>
      <c r="B193" s="22" t="s">
        <v>379</v>
      </c>
      <c r="C193" s="22" t="s">
        <v>173</v>
      </c>
      <c r="D193" s="22" t="n">
        <v>2</v>
      </c>
      <c r="E193" s="23" t="s">
        <v>21</v>
      </c>
    </row>
    <row r="194" customFormat="false" ht="13.8" hidden="false" customHeight="false" outlineLevel="0" collapsed="false">
      <c r="A194" s="22" t="s">
        <v>294</v>
      </c>
      <c r="B194" s="22" t="s">
        <v>380</v>
      </c>
      <c r="C194" s="22" t="s">
        <v>173</v>
      </c>
      <c r="D194" s="22" t="n">
        <v>2</v>
      </c>
      <c r="E194" s="23" t="s">
        <v>184</v>
      </c>
    </row>
    <row r="195" customFormat="false" ht="13.8" hidden="false" customHeight="false" outlineLevel="0" collapsed="false">
      <c r="A195" s="22" t="s">
        <v>294</v>
      </c>
      <c r="B195" s="22" t="s">
        <v>381</v>
      </c>
      <c r="C195" s="22" t="s">
        <v>173</v>
      </c>
      <c r="D195" s="22" t="n">
        <v>3</v>
      </c>
      <c r="E195" s="23" t="s">
        <v>174</v>
      </c>
    </row>
    <row r="196" customFormat="false" ht="13.8" hidden="false" customHeight="false" outlineLevel="0" collapsed="false">
      <c r="A196" s="22" t="s">
        <v>294</v>
      </c>
      <c r="B196" s="22" t="s">
        <v>382</v>
      </c>
      <c r="C196" s="22" t="s">
        <v>173</v>
      </c>
      <c r="D196" s="22" t="n">
        <v>3</v>
      </c>
      <c r="E196" s="23" t="s">
        <v>174</v>
      </c>
    </row>
    <row r="197" customFormat="false" ht="13.8" hidden="false" customHeight="false" outlineLevel="0" collapsed="false">
      <c r="A197" s="22" t="s">
        <v>294</v>
      </c>
      <c r="B197" s="22" t="s">
        <v>383</v>
      </c>
      <c r="C197" s="22" t="s">
        <v>173</v>
      </c>
      <c r="D197" s="22" t="n">
        <v>3</v>
      </c>
      <c r="E197" s="23" t="s">
        <v>189</v>
      </c>
    </row>
    <row r="198" customFormat="false" ht="13.8" hidden="false" customHeight="false" outlineLevel="0" collapsed="false">
      <c r="A198" s="22" t="s">
        <v>294</v>
      </c>
      <c r="B198" s="22" t="s">
        <v>384</v>
      </c>
      <c r="C198" s="22" t="s">
        <v>173</v>
      </c>
      <c r="D198" s="22" t="n">
        <v>3</v>
      </c>
      <c r="E198" s="23" t="s">
        <v>186</v>
      </c>
    </row>
    <row r="199" customFormat="false" ht="13.8" hidden="false" customHeight="false" outlineLevel="0" collapsed="false">
      <c r="A199" s="22" t="s">
        <v>294</v>
      </c>
      <c r="B199" s="22" t="s">
        <v>385</v>
      </c>
      <c r="C199" s="22" t="s">
        <v>173</v>
      </c>
      <c r="D199" s="22" t="n">
        <v>2</v>
      </c>
      <c r="E199" s="23" t="s">
        <v>184</v>
      </c>
    </row>
    <row r="200" customFormat="false" ht="13.8" hidden="false" customHeight="false" outlineLevel="0" collapsed="false">
      <c r="A200" s="22" t="s">
        <v>294</v>
      </c>
      <c r="B200" s="22" t="s">
        <v>386</v>
      </c>
      <c r="C200" s="22" t="s">
        <v>173</v>
      </c>
      <c r="D200" s="22" t="n">
        <v>3</v>
      </c>
      <c r="E200" s="23" t="s">
        <v>184</v>
      </c>
    </row>
    <row r="201" customFormat="false" ht="13.8" hidden="false" customHeight="false" outlineLevel="0" collapsed="false">
      <c r="A201" s="22" t="s">
        <v>294</v>
      </c>
      <c r="B201" s="22" t="s">
        <v>387</v>
      </c>
      <c r="C201" s="22" t="s">
        <v>173</v>
      </c>
      <c r="D201" s="22" t="n">
        <v>0</v>
      </c>
      <c r="E201" s="23" t="s">
        <v>184</v>
      </c>
    </row>
    <row r="202" customFormat="false" ht="13.8" hidden="false" customHeight="false" outlineLevel="0" collapsed="false">
      <c r="A202" s="22" t="s">
        <v>294</v>
      </c>
      <c r="B202" s="22" t="s">
        <v>388</v>
      </c>
      <c r="C202" s="22" t="s">
        <v>173</v>
      </c>
      <c r="D202" s="22" t="n">
        <v>2</v>
      </c>
      <c r="E202" s="23" t="s">
        <v>184</v>
      </c>
    </row>
    <row r="203" customFormat="false" ht="13.8" hidden="false" customHeight="false" outlineLevel="0" collapsed="false">
      <c r="A203" s="22" t="s">
        <v>294</v>
      </c>
      <c r="B203" s="22" t="s">
        <v>389</v>
      </c>
      <c r="C203" s="22" t="s">
        <v>173</v>
      </c>
      <c r="D203" s="22" t="n">
        <v>0</v>
      </c>
      <c r="E203" s="23" t="s">
        <v>189</v>
      </c>
    </row>
    <row r="204" customFormat="false" ht="13.8" hidden="false" customHeight="false" outlineLevel="0" collapsed="false">
      <c r="A204" s="22" t="s">
        <v>294</v>
      </c>
      <c r="B204" s="22" t="s">
        <v>390</v>
      </c>
      <c r="C204" s="22" t="s">
        <v>173</v>
      </c>
      <c r="D204" s="22" t="n">
        <v>2</v>
      </c>
      <c r="E204" s="23" t="s">
        <v>184</v>
      </c>
    </row>
    <row r="205" customFormat="false" ht="13.8" hidden="false" customHeight="false" outlineLevel="0" collapsed="false">
      <c r="A205" s="22" t="s">
        <v>294</v>
      </c>
      <c r="B205" s="22" t="s">
        <v>391</v>
      </c>
      <c r="C205" s="22" t="s">
        <v>173</v>
      </c>
      <c r="D205" s="22" t="n">
        <v>3</v>
      </c>
      <c r="E205" s="23" t="s">
        <v>184</v>
      </c>
    </row>
    <row r="206" customFormat="false" ht="13.8" hidden="false" customHeight="false" outlineLevel="0" collapsed="false">
      <c r="A206" s="22" t="s">
        <v>294</v>
      </c>
      <c r="B206" s="22" t="s">
        <v>392</v>
      </c>
      <c r="C206" s="22" t="s">
        <v>173</v>
      </c>
      <c r="D206" s="22" t="n">
        <v>1</v>
      </c>
      <c r="E206" s="23" t="s">
        <v>182</v>
      </c>
    </row>
    <row r="207" customFormat="false" ht="13.8" hidden="false" customHeight="false" outlineLevel="0" collapsed="false">
      <c r="A207" s="22" t="s">
        <v>294</v>
      </c>
      <c r="B207" s="22" t="s">
        <v>393</v>
      </c>
      <c r="C207" s="22" t="s">
        <v>173</v>
      </c>
      <c r="D207" s="22" t="n">
        <v>0</v>
      </c>
      <c r="E207" s="23" t="s">
        <v>184</v>
      </c>
    </row>
    <row r="208" customFormat="false" ht="13.8" hidden="false" customHeight="false" outlineLevel="0" collapsed="false">
      <c r="A208" s="22" t="s">
        <v>294</v>
      </c>
      <c r="B208" s="22" t="s">
        <v>394</v>
      </c>
      <c r="C208" s="22" t="s">
        <v>173</v>
      </c>
      <c r="D208" s="22" t="n">
        <v>2</v>
      </c>
      <c r="E208" s="23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5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H10" activeCellId="0" sqref="H10"/>
    </sheetView>
  </sheetViews>
  <sheetFormatPr defaultColWidth="10.16015625" defaultRowHeight="12.8" zeroHeight="false" outlineLevelRow="0" outlineLevelCol="0"/>
  <cols>
    <col collapsed="false" customWidth="true" hidden="false" outlineLevel="0" max="10" min="10" style="0" width="22.34"/>
    <col collapsed="false" customWidth="true" hidden="false" outlineLevel="0" max="11" min="11" style="0" width="16.67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395</v>
      </c>
      <c r="F2" s="0" t="s">
        <v>396</v>
      </c>
    </row>
    <row r="3" customFormat="false" ht="13.8" hidden="false" customHeight="false" outlineLevel="0" collapsed="false">
      <c r="B3" s="4" t="s">
        <v>178</v>
      </c>
      <c r="C3" s="5" t="s">
        <v>10</v>
      </c>
      <c r="D3" s="6" t="s">
        <v>11</v>
      </c>
      <c r="F3" s="4"/>
      <c r="G3" s="5" t="s">
        <v>10</v>
      </c>
      <c r="H3" s="6" t="s">
        <v>11</v>
      </c>
      <c r="J3" s="34" t="s">
        <v>397</v>
      </c>
    </row>
    <row r="4" customFormat="false" ht="13.8" hidden="false" customHeight="false" outlineLevel="0" collapsed="false">
      <c r="B4" s="4" t="n">
        <v>0</v>
      </c>
      <c r="C4" s="5" t="n">
        <v>34</v>
      </c>
      <c r="D4" s="7" t="n">
        <v>0.164251207729469</v>
      </c>
      <c r="F4" s="4" t="n">
        <v>0</v>
      </c>
      <c r="G4" s="5" t="n">
        <v>8</v>
      </c>
      <c r="H4" s="7" t="n">
        <v>0.163265306122449</v>
      </c>
      <c r="J4" s="35" t="n">
        <f aca="false">D4-H4</f>
        <v>0.00098590160701964</v>
      </c>
    </row>
    <row r="5" customFormat="false" ht="13.8" hidden="false" customHeight="false" outlineLevel="0" collapsed="false">
      <c r="B5" s="8" t="n">
        <v>1</v>
      </c>
      <c r="C5" s="0" t="n">
        <v>10</v>
      </c>
      <c r="D5" s="10" t="n">
        <v>0.0483091787439614</v>
      </c>
      <c r="F5" s="8" t="n">
        <v>1</v>
      </c>
      <c r="G5" s="0" t="n">
        <v>7</v>
      </c>
      <c r="H5" s="10" t="n">
        <v>0.142857142857143</v>
      </c>
      <c r="J5" s="35" t="n">
        <f aca="false">D5-H5</f>
        <v>-0.0945479641131815</v>
      </c>
    </row>
    <row r="6" customFormat="false" ht="13.8" hidden="false" customHeight="false" outlineLevel="0" collapsed="false">
      <c r="B6" s="8" t="n">
        <v>2</v>
      </c>
      <c r="C6" s="0" t="n">
        <v>78</v>
      </c>
      <c r="D6" s="10" t="n">
        <v>0.376811594202899</v>
      </c>
      <c r="F6" s="8" t="n">
        <v>2</v>
      </c>
      <c r="G6" s="0" t="n">
        <v>8</v>
      </c>
      <c r="H6" s="10" t="n">
        <v>0.163265306122449</v>
      </c>
      <c r="J6" s="35" t="n">
        <f aca="false">D6-H6</f>
        <v>0.21354628808045</v>
      </c>
    </row>
    <row r="7" customFormat="false" ht="13.8" hidden="false" customHeight="false" outlineLevel="0" collapsed="false">
      <c r="B7" s="11" t="n">
        <v>3</v>
      </c>
      <c r="C7" s="12" t="n">
        <v>85</v>
      </c>
      <c r="D7" s="13" t="n">
        <v>0.410628019323672</v>
      </c>
      <c r="F7" s="11" t="n">
        <v>3</v>
      </c>
      <c r="G7" s="12" t="n">
        <v>26</v>
      </c>
      <c r="H7" s="13" t="n">
        <v>0.530612244897959</v>
      </c>
      <c r="J7" s="36" t="n">
        <f aca="false">D7-H7</f>
        <v>-0.119984225574288</v>
      </c>
    </row>
    <row r="8" customFormat="false" ht="13.8" hidden="false" customHeight="false" outlineLevel="0" collapsed="false">
      <c r="B8" s="14" t="s">
        <v>187</v>
      </c>
      <c r="C8" s="12" t="n">
        <v>207</v>
      </c>
      <c r="D8" s="15" t="n">
        <v>1</v>
      </c>
      <c r="F8" s="14" t="s">
        <v>25</v>
      </c>
      <c r="G8" s="12" t="n">
        <v>49</v>
      </c>
      <c r="H8" s="15" t="n">
        <v>1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>
      <c r="B11" s="0" t="s">
        <v>398</v>
      </c>
    </row>
    <row r="12" customFormat="false" ht="13.8" hidden="false" customHeight="false" outlineLevel="0" collapsed="false">
      <c r="B12" s="4"/>
      <c r="C12" s="5" t="s">
        <v>10</v>
      </c>
      <c r="D12" s="6" t="s">
        <v>11</v>
      </c>
    </row>
    <row r="13" customFormat="false" ht="13.8" hidden="false" customHeight="false" outlineLevel="0" collapsed="false">
      <c r="B13" s="4" t="n">
        <v>0</v>
      </c>
      <c r="C13" s="5" t="n">
        <v>5</v>
      </c>
      <c r="D13" s="7" t="n">
        <v>0.178571428571429</v>
      </c>
    </row>
    <row r="14" customFormat="false" ht="13.8" hidden="false" customHeight="false" outlineLevel="0" collapsed="false">
      <c r="B14" s="8" t="n">
        <v>1</v>
      </c>
      <c r="C14" s="0" t="n">
        <v>8</v>
      </c>
      <c r="D14" s="10" t="n">
        <v>0.285714285714286</v>
      </c>
    </row>
    <row r="15" customFormat="false" ht="13.8" hidden="false" customHeight="false" outlineLevel="0" collapsed="false">
      <c r="B15" s="8" t="n">
        <v>2</v>
      </c>
      <c r="C15" s="0" t="n">
        <v>1</v>
      </c>
      <c r="D15" s="10" t="n">
        <v>0.0357142857142857</v>
      </c>
    </row>
    <row r="16" customFormat="false" ht="13.8" hidden="false" customHeight="false" outlineLevel="0" collapsed="false">
      <c r="B16" s="8" t="n">
        <v>3</v>
      </c>
      <c r="C16" s="16" t="n">
        <v>8</v>
      </c>
      <c r="D16" s="10" t="n">
        <v>0.285714285714286</v>
      </c>
    </row>
    <row r="17" customFormat="false" ht="13.8" hidden="false" customHeight="false" outlineLevel="0" collapsed="false">
      <c r="B17" s="11" t="n">
        <v>4</v>
      </c>
      <c r="C17" s="12" t="n">
        <v>6</v>
      </c>
      <c r="D17" s="10" t="n">
        <v>0.214285714285714</v>
      </c>
    </row>
    <row r="18" customFormat="false" ht="13.8" hidden="false" customHeight="false" outlineLevel="0" collapsed="false">
      <c r="B18" s="14" t="s">
        <v>25</v>
      </c>
      <c r="C18" s="12" t="n">
        <v>28</v>
      </c>
      <c r="D18" s="15" t="n">
        <v>1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>
      <c r="B21" s="0" t="s">
        <v>399</v>
      </c>
      <c r="F21" s="0" t="s">
        <v>400</v>
      </c>
    </row>
    <row r="22" customFormat="false" ht="13.8" hidden="false" customHeight="false" outlineLevel="0" collapsed="false">
      <c r="B22" s="4" t="s">
        <v>3</v>
      </c>
      <c r="C22" s="5" t="s">
        <v>10</v>
      </c>
      <c r="D22" s="6" t="s">
        <v>11</v>
      </c>
      <c r="F22" s="4" t="s">
        <v>3</v>
      </c>
      <c r="G22" s="5" t="s">
        <v>10</v>
      </c>
      <c r="H22" s="6" t="s">
        <v>11</v>
      </c>
      <c r="J22" s="37" t="s">
        <v>401</v>
      </c>
    </row>
    <row r="23" customFormat="false" ht="13.8" hidden="false" customHeight="false" outlineLevel="0" collapsed="false">
      <c r="B23" s="4" t="s">
        <v>24</v>
      </c>
      <c r="C23" s="5" t="n">
        <v>8</v>
      </c>
      <c r="D23" s="7" t="n">
        <v>0.163265306122449</v>
      </c>
      <c r="F23" s="4" t="s">
        <v>24</v>
      </c>
      <c r="G23" s="5" t="n">
        <v>0</v>
      </c>
      <c r="H23" s="7" t="n">
        <v>0</v>
      </c>
      <c r="J23" s="38" t="n">
        <f aca="false">D23-H23</f>
        <v>0.163265306122449</v>
      </c>
    </row>
    <row r="24" customFormat="false" ht="13.8" hidden="false" customHeight="false" outlineLevel="0" collapsed="false">
      <c r="B24" s="8" t="s">
        <v>9</v>
      </c>
      <c r="C24" s="0" t="n">
        <v>9</v>
      </c>
      <c r="D24" s="10" t="n">
        <v>0.183673469387755</v>
      </c>
      <c r="F24" s="8" t="s">
        <v>9</v>
      </c>
      <c r="G24" s="0" t="n">
        <v>5</v>
      </c>
      <c r="H24" s="10" t="n">
        <v>0.178571428571429</v>
      </c>
      <c r="J24" s="35" t="n">
        <f aca="false">D24-H24</f>
        <v>0.00510204081632654</v>
      </c>
    </row>
    <row r="25" customFormat="false" ht="13.8" hidden="false" customHeight="false" outlineLevel="0" collapsed="false">
      <c r="B25" s="8" t="s">
        <v>18</v>
      </c>
      <c r="C25" s="0" t="n">
        <v>4</v>
      </c>
      <c r="D25" s="10" t="n">
        <v>0.0816326530612245</v>
      </c>
      <c r="F25" s="8" t="s">
        <v>18</v>
      </c>
      <c r="G25" s="0" t="n">
        <v>4</v>
      </c>
      <c r="H25" s="10" t="n">
        <v>0.142857142857143</v>
      </c>
      <c r="J25" s="35" t="n">
        <f aca="false">D25-H25</f>
        <v>-0.0612244897959184</v>
      </c>
    </row>
    <row r="26" customFormat="false" ht="13.8" hidden="false" customHeight="false" outlineLevel="0" collapsed="false">
      <c r="B26" s="8" t="s">
        <v>21</v>
      </c>
      <c r="C26" s="0" t="n">
        <v>2</v>
      </c>
      <c r="D26" s="10" t="n">
        <v>0.0408163265306122</v>
      </c>
      <c r="F26" s="8" t="s">
        <v>21</v>
      </c>
      <c r="G26" s="16" t="n">
        <v>2</v>
      </c>
      <c r="H26" s="10" t="n">
        <v>0.0714285714285714</v>
      </c>
      <c r="J26" s="35" t="n">
        <f aca="false">D26-H26</f>
        <v>-0.0306122448979592</v>
      </c>
    </row>
    <row r="27" customFormat="false" ht="13.8" hidden="false" customHeight="false" outlineLevel="0" collapsed="false">
      <c r="B27" s="8" t="s">
        <v>6</v>
      </c>
      <c r="C27" s="0" t="n">
        <v>18</v>
      </c>
      <c r="D27" s="10" t="n">
        <v>0.36734693877551</v>
      </c>
      <c r="F27" s="8" t="s">
        <v>6</v>
      </c>
      <c r="G27" s="16" t="n">
        <v>4</v>
      </c>
      <c r="H27" s="10" t="n">
        <v>0.142857142857143</v>
      </c>
      <c r="J27" s="35" t="n">
        <f aca="false">D27-H27</f>
        <v>0.224489795918367</v>
      </c>
    </row>
    <row r="28" customFormat="false" ht="13.8" hidden="false" customHeight="false" outlineLevel="0" collapsed="false">
      <c r="B28" s="11" t="s">
        <v>44</v>
      </c>
      <c r="C28" s="12" t="n">
        <v>8</v>
      </c>
      <c r="D28" s="13" t="n">
        <v>0.163265306122449</v>
      </c>
      <c r="F28" s="11" t="s">
        <v>44</v>
      </c>
      <c r="G28" s="12" t="n">
        <v>13</v>
      </c>
      <c r="H28" s="13" t="n">
        <v>0.464285714285714</v>
      </c>
      <c r="J28" s="36" t="n">
        <f aca="false">D28-H28</f>
        <v>-0.301020408163265</v>
      </c>
    </row>
    <row r="29" customFormat="false" ht="13.8" hidden="false" customHeight="false" outlineLevel="0" collapsed="false">
      <c r="B29" s="11" t="s">
        <v>25</v>
      </c>
      <c r="C29" s="12" t="n">
        <v>49</v>
      </c>
      <c r="D29" s="15" t="n">
        <v>1</v>
      </c>
      <c r="F29" s="17" t="s">
        <v>25</v>
      </c>
      <c r="G29" s="18" t="n">
        <v>28</v>
      </c>
      <c r="H29" s="19" t="n">
        <v>1</v>
      </c>
      <c r="J29" s="5"/>
    </row>
    <row r="32" customFormat="false" ht="13.8" hidden="false" customHeight="false" outlineLevel="0" collapsed="false">
      <c r="B32" s="0" t="s">
        <v>402</v>
      </c>
      <c r="F32" s="0" t="s">
        <v>396</v>
      </c>
    </row>
    <row r="33" customFormat="false" ht="13.8" hidden="false" customHeight="false" outlineLevel="0" collapsed="false">
      <c r="B33" s="24" t="s">
        <v>192</v>
      </c>
      <c r="C33" s="25" t="s">
        <v>10</v>
      </c>
      <c r="D33" s="26" t="s">
        <v>11</v>
      </c>
      <c r="F33" s="4" t="s">
        <v>3</v>
      </c>
      <c r="G33" s="5" t="s">
        <v>10</v>
      </c>
      <c r="H33" s="6" t="s">
        <v>11</v>
      </c>
      <c r="J33" s="34" t="s">
        <v>397</v>
      </c>
    </row>
    <row r="34" customFormat="false" ht="13.8" hidden="false" customHeight="false" outlineLevel="0" collapsed="false">
      <c r="B34" s="27" t="s">
        <v>174</v>
      </c>
      <c r="C34" s="23" t="n">
        <v>38</v>
      </c>
      <c r="D34" s="28" t="n">
        <v>0.183574879227053</v>
      </c>
      <c r="F34" s="4" t="s">
        <v>24</v>
      </c>
      <c r="G34" s="5" t="n">
        <v>8</v>
      </c>
      <c r="H34" s="7" t="n">
        <v>0.163265306122449</v>
      </c>
      <c r="J34" s="35" t="n">
        <f aca="false">D34-H34</f>
        <v>0.0203095731046042</v>
      </c>
    </row>
    <row r="35" customFormat="false" ht="13.8" hidden="false" customHeight="false" outlineLevel="0" collapsed="false">
      <c r="B35" s="27" t="s">
        <v>21</v>
      </c>
      <c r="C35" s="23" t="n">
        <v>33</v>
      </c>
      <c r="D35" s="28" t="n">
        <v>0.159420289855072</v>
      </c>
      <c r="F35" s="8" t="s">
        <v>21</v>
      </c>
      <c r="G35" s="0" t="n">
        <v>2</v>
      </c>
      <c r="H35" s="10" t="n">
        <v>0.0408163265306122</v>
      </c>
      <c r="J35" s="35" t="n">
        <f aca="false">D35-H35</f>
        <v>0.11860396332446</v>
      </c>
    </row>
    <row r="36" customFormat="false" ht="13.8" hidden="false" customHeight="false" outlineLevel="0" collapsed="false">
      <c r="B36" s="27" t="s">
        <v>182</v>
      </c>
      <c r="C36" s="23" t="n">
        <v>32</v>
      </c>
      <c r="D36" s="28" t="n">
        <v>0.154589371980676</v>
      </c>
      <c r="F36" s="8" t="s">
        <v>18</v>
      </c>
      <c r="G36" s="0" t="n">
        <v>4</v>
      </c>
      <c r="H36" s="10" t="n">
        <v>0.0816326530612245</v>
      </c>
      <c r="J36" s="35" t="n">
        <f aca="false">D36-H36</f>
        <v>0.0729567189194518</v>
      </c>
    </row>
    <row r="37" customFormat="false" ht="13.8" hidden="false" customHeight="false" outlineLevel="0" collapsed="false">
      <c r="B37" s="27" t="s">
        <v>184</v>
      </c>
      <c r="C37" s="23" t="n">
        <v>48</v>
      </c>
      <c r="D37" s="39" t="n">
        <v>0.231884057971015</v>
      </c>
      <c r="F37" s="8" t="s">
        <v>9</v>
      </c>
      <c r="G37" s="0" t="n">
        <v>9</v>
      </c>
      <c r="H37" s="40" t="n">
        <v>0.183673469387755</v>
      </c>
      <c r="J37" s="41" t="n">
        <f aca="false">D37+D39-H37</f>
        <v>0.275263728679878</v>
      </c>
      <c r="K37" s="42" t="s">
        <v>403</v>
      </c>
    </row>
    <row r="38" customFormat="false" ht="13.8" hidden="false" customHeight="false" outlineLevel="0" collapsed="false">
      <c r="B38" s="27" t="s">
        <v>186</v>
      </c>
      <c r="C38" s="23" t="n">
        <v>9</v>
      </c>
      <c r="D38" s="28" t="n">
        <v>0.0434782608695652</v>
      </c>
      <c r="F38" s="8" t="s">
        <v>6</v>
      </c>
      <c r="G38" s="0" t="n">
        <v>18</v>
      </c>
      <c r="H38" s="10" t="n">
        <v>0.36734693877551</v>
      </c>
      <c r="J38" s="43"/>
    </row>
    <row r="39" customFormat="false" ht="13.8" hidden="false" customHeight="false" outlineLevel="0" collapsed="false">
      <c r="B39" s="27" t="s">
        <v>189</v>
      </c>
      <c r="C39" s="23" t="n">
        <v>47</v>
      </c>
      <c r="D39" s="39" t="n">
        <v>0.227053140096618</v>
      </c>
      <c r="F39" s="11" t="s">
        <v>44</v>
      </c>
      <c r="G39" s="12" t="n">
        <v>8</v>
      </c>
      <c r="H39" s="13" t="n">
        <v>0.163265306122449</v>
      </c>
      <c r="J39" s="43"/>
    </row>
    <row r="40" customFormat="false" ht="13.8" hidden="false" customHeight="false" outlineLevel="0" collapsed="false">
      <c r="B40" s="24" t="s">
        <v>25</v>
      </c>
      <c r="C40" s="25" t="n">
        <v>207</v>
      </c>
      <c r="D40" s="29" t="n">
        <v>1</v>
      </c>
      <c r="F40" s="11" t="s">
        <v>25</v>
      </c>
      <c r="G40" s="12" t="n">
        <v>49</v>
      </c>
      <c r="H40" s="15" t="n">
        <v>1</v>
      </c>
    </row>
    <row r="4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13" activeCellId="0" sqref="F13"/>
    </sheetView>
  </sheetViews>
  <sheetFormatPr defaultColWidth="10.16015625" defaultRowHeight="12.8" zeroHeight="false" outlineLevelRow="0" outlineLevelCol="0"/>
  <cols>
    <col collapsed="false" customWidth="true" hidden="false" outlineLevel="0" max="5" min="5" style="0" width="27.37"/>
    <col collapsed="false" customWidth="true" hidden="false" outlineLevel="0" max="6" min="6" style="0" width="36.44"/>
  </cols>
  <sheetData>
    <row r="1" customFormat="false" ht="13.8" hidden="false" customHeight="false" outlineLevel="0" collapsed="false">
      <c r="A1" s="21" t="s">
        <v>168</v>
      </c>
      <c r="B1" s="21" t="s">
        <v>169</v>
      </c>
      <c r="C1" s="21" t="s">
        <v>170</v>
      </c>
      <c r="D1" s="21" t="s">
        <v>2</v>
      </c>
      <c r="E1" s="21" t="s">
        <v>3</v>
      </c>
      <c r="F1" s="21" t="s">
        <v>404</v>
      </c>
    </row>
    <row r="2" customFormat="false" ht="13.8" hidden="false" customHeight="false" outlineLevel="0" collapsed="false">
      <c r="A2" s="22" t="s">
        <v>171</v>
      </c>
      <c r="B2" s="22" t="s">
        <v>176</v>
      </c>
      <c r="C2" s="22" t="s">
        <v>173</v>
      </c>
      <c r="D2" s="22" t="n">
        <v>2</v>
      </c>
      <c r="E2" s="23" t="s">
        <v>21</v>
      </c>
      <c r="F2" s="0" t="s">
        <v>405</v>
      </c>
    </row>
    <row r="3" customFormat="false" ht="13.8" hidden="false" customHeight="false" outlineLevel="0" collapsed="false">
      <c r="A3" s="22" t="s">
        <v>171</v>
      </c>
      <c r="B3" s="22" t="s">
        <v>185</v>
      </c>
      <c r="C3" s="22" t="s">
        <v>173</v>
      </c>
      <c r="D3" s="22" t="n">
        <v>2</v>
      </c>
      <c r="E3" s="23" t="s">
        <v>182</v>
      </c>
      <c r="F3" s="0" t="s">
        <v>406</v>
      </c>
    </row>
    <row r="4" customFormat="false" ht="13.8" hidden="false" customHeight="false" outlineLevel="0" collapsed="false">
      <c r="A4" s="22" t="s">
        <v>171</v>
      </c>
      <c r="B4" s="22" t="s">
        <v>190</v>
      </c>
      <c r="C4" s="22" t="s">
        <v>173</v>
      </c>
      <c r="D4" s="22" t="n">
        <v>2</v>
      </c>
      <c r="E4" s="23" t="s">
        <v>182</v>
      </c>
      <c r="F4" s="0" t="s">
        <v>406</v>
      </c>
    </row>
    <row r="5" customFormat="false" ht="13.8" hidden="false" customHeight="false" outlineLevel="0" collapsed="false">
      <c r="A5" s="22" t="s">
        <v>171</v>
      </c>
      <c r="B5" s="22" t="s">
        <v>191</v>
      </c>
      <c r="C5" s="22" t="s">
        <v>173</v>
      </c>
      <c r="D5" s="22" t="n">
        <v>2</v>
      </c>
      <c r="E5" s="23" t="s">
        <v>182</v>
      </c>
      <c r="F5" s="0" t="s">
        <v>406</v>
      </c>
    </row>
    <row r="6" customFormat="false" ht="13.8" hidden="false" customHeight="false" outlineLevel="0" collapsed="false">
      <c r="A6" s="22" t="s">
        <v>171</v>
      </c>
      <c r="B6" s="22" t="s">
        <v>196</v>
      </c>
      <c r="C6" s="22" t="s">
        <v>173</v>
      </c>
      <c r="D6" s="22" t="n">
        <v>2</v>
      </c>
      <c r="E6" s="23" t="s">
        <v>182</v>
      </c>
      <c r="F6" s="0" t="s">
        <v>406</v>
      </c>
    </row>
    <row r="7" customFormat="false" ht="13.8" hidden="false" customHeight="false" outlineLevel="0" collapsed="false">
      <c r="A7" s="22" t="s">
        <v>171</v>
      </c>
      <c r="B7" s="22" t="s">
        <v>198</v>
      </c>
      <c r="C7" s="22" t="s">
        <v>173</v>
      </c>
      <c r="D7" s="22" t="n">
        <v>2</v>
      </c>
      <c r="E7" s="23" t="s">
        <v>184</v>
      </c>
      <c r="F7" s="0" t="s">
        <v>405</v>
      </c>
    </row>
    <row r="8" customFormat="false" ht="13.8" hidden="false" customHeight="false" outlineLevel="0" collapsed="false">
      <c r="A8" s="22" t="s">
        <v>171</v>
      </c>
      <c r="B8" s="22" t="s">
        <v>204</v>
      </c>
      <c r="C8" s="22" t="s">
        <v>173</v>
      </c>
      <c r="D8" s="22" t="n">
        <v>2</v>
      </c>
      <c r="E8" s="23" t="s">
        <v>184</v>
      </c>
      <c r="F8" s="0" t="s">
        <v>406</v>
      </c>
    </row>
    <row r="9" customFormat="false" ht="13.8" hidden="false" customHeight="false" outlineLevel="0" collapsed="false">
      <c r="A9" s="22" t="s">
        <v>171</v>
      </c>
      <c r="B9" s="22" t="s">
        <v>205</v>
      </c>
      <c r="C9" s="22" t="s">
        <v>173</v>
      </c>
      <c r="D9" s="22" t="n">
        <v>2</v>
      </c>
      <c r="E9" s="23" t="s">
        <v>182</v>
      </c>
      <c r="F9" s="0" t="s">
        <v>406</v>
      </c>
    </row>
    <row r="10" customFormat="false" ht="13.8" hidden="false" customHeight="false" outlineLevel="0" collapsed="false">
      <c r="A10" s="22" t="s">
        <v>171</v>
      </c>
      <c r="B10" s="22" t="s">
        <v>207</v>
      </c>
      <c r="C10" s="22" t="s">
        <v>173</v>
      </c>
      <c r="D10" s="22" t="n">
        <v>2</v>
      </c>
      <c r="E10" s="23" t="s">
        <v>182</v>
      </c>
      <c r="F10" s="0" t="s">
        <v>405</v>
      </c>
    </row>
    <row r="11" customFormat="false" ht="13.8" hidden="false" customHeight="false" outlineLevel="0" collapsed="false">
      <c r="A11" s="22" t="s">
        <v>171</v>
      </c>
      <c r="B11" s="22" t="s">
        <v>211</v>
      </c>
      <c r="C11" s="22" t="s">
        <v>173</v>
      </c>
      <c r="D11" s="22" t="n">
        <v>2</v>
      </c>
      <c r="E11" s="23" t="s">
        <v>182</v>
      </c>
      <c r="F11" s="0" t="s">
        <v>406</v>
      </c>
    </row>
    <row r="12" customFormat="false" ht="13.8" hidden="false" customHeight="false" outlineLevel="0" collapsed="false">
      <c r="A12" s="22" t="s">
        <v>171</v>
      </c>
      <c r="B12" s="22" t="s">
        <v>215</v>
      </c>
      <c r="C12" s="22" t="s">
        <v>173</v>
      </c>
      <c r="D12" s="22" t="n">
        <v>2</v>
      </c>
      <c r="E12" s="23" t="s">
        <v>189</v>
      </c>
      <c r="F12" s="0" t="s">
        <v>405</v>
      </c>
    </row>
    <row r="13" customFormat="false" ht="13.8" hidden="false" customHeight="false" outlineLevel="0" collapsed="false">
      <c r="A13" s="22" t="s">
        <v>171</v>
      </c>
      <c r="B13" s="22" t="s">
        <v>230</v>
      </c>
      <c r="C13" s="22" t="s">
        <v>173</v>
      </c>
      <c r="D13" s="22" t="n">
        <v>2</v>
      </c>
      <c r="E13" s="23" t="s">
        <v>21</v>
      </c>
      <c r="F13" s="0" t="s">
        <v>407</v>
      </c>
    </row>
    <row r="14" customFormat="false" ht="13.8" hidden="false" customHeight="false" outlineLevel="0" collapsed="false">
      <c r="A14" s="22" t="s">
        <v>171</v>
      </c>
      <c r="B14" s="22" t="s">
        <v>231</v>
      </c>
      <c r="C14" s="22" t="s">
        <v>173</v>
      </c>
      <c r="D14" s="22" t="n">
        <v>2</v>
      </c>
      <c r="E14" s="23" t="s">
        <v>182</v>
      </c>
      <c r="F14" s="0" t="s">
        <v>406</v>
      </c>
    </row>
    <row r="15" customFormat="false" ht="13.8" hidden="false" customHeight="false" outlineLevel="0" collapsed="false">
      <c r="A15" s="22" t="s">
        <v>171</v>
      </c>
      <c r="B15" s="22" t="s">
        <v>232</v>
      </c>
      <c r="C15" s="22" t="s">
        <v>173</v>
      </c>
      <c r="D15" s="22" t="n">
        <v>2</v>
      </c>
      <c r="E15" s="23" t="s">
        <v>182</v>
      </c>
      <c r="F15" s="0" t="s">
        <v>407</v>
      </c>
    </row>
    <row r="16" customFormat="false" ht="13.8" hidden="false" customHeight="false" outlineLevel="0" collapsed="false">
      <c r="A16" s="22" t="s">
        <v>171</v>
      </c>
      <c r="B16" s="22" t="s">
        <v>236</v>
      </c>
      <c r="C16" s="22" t="s">
        <v>173</v>
      </c>
      <c r="D16" s="22" t="n">
        <v>2</v>
      </c>
      <c r="E16" s="23" t="s">
        <v>189</v>
      </c>
      <c r="F16" s="0" t="s">
        <v>406</v>
      </c>
    </row>
    <row r="17" customFormat="false" ht="13.8" hidden="false" customHeight="false" outlineLevel="0" collapsed="false">
      <c r="A17" s="22" t="s">
        <v>171</v>
      </c>
      <c r="B17" s="22" t="s">
        <v>237</v>
      </c>
      <c r="C17" s="22" t="s">
        <v>173</v>
      </c>
      <c r="D17" s="22" t="n">
        <v>2</v>
      </c>
      <c r="E17" s="23" t="s">
        <v>189</v>
      </c>
      <c r="F17" s="0" t="s">
        <v>406</v>
      </c>
    </row>
    <row r="18" customFormat="false" ht="13.8" hidden="false" customHeight="false" outlineLevel="0" collapsed="false">
      <c r="A18" s="22" t="s">
        <v>171</v>
      </c>
      <c r="B18" s="22" t="s">
        <v>238</v>
      </c>
      <c r="C18" s="22" t="s">
        <v>173</v>
      </c>
      <c r="D18" s="22" t="n">
        <v>2</v>
      </c>
      <c r="E18" s="23" t="s">
        <v>189</v>
      </c>
      <c r="F18" s="0" t="s">
        <v>406</v>
      </c>
    </row>
    <row r="19" customFormat="false" ht="13.8" hidden="false" customHeight="false" outlineLevel="0" collapsed="false">
      <c r="A19" s="22" t="s">
        <v>171</v>
      </c>
      <c r="B19" s="22" t="s">
        <v>240</v>
      </c>
      <c r="C19" s="22" t="s">
        <v>173</v>
      </c>
      <c r="D19" s="22" t="n">
        <v>2</v>
      </c>
      <c r="E19" s="23" t="s">
        <v>182</v>
      </c>
      <c r="F19" s="0" t="s">
        <v>406</v>
      </c>
    </row>
    <row r="20" customFormat="false" ht="13.8" hidden="false" customHeight="false" outlineLevel="0" collapsed="false">
      <c r="A20" s="22" t="s">
        <v>171</v>
      </c>
      <c r="B20" s="22" t="s">
        <v>241</v>
      </c>
      <c r="C20" s="22" t="s">
        <v>173</v>
      </c>
      <c r="D20" s="22" t="n">
        <v>2</v>
      </c>
      <c r="E20" s="23" t="s">
        <v>182</v>
      </c>
      <c r="F20" s="0" t="s">
        <v>406</v>
      </c>
    </row>
    <row r="21" customFormat="false" ht="13.8" hidden="false" customHeight="false" outlineLevel="0" collapsed="false">
      <c r="A21" s="22" t="s">
        <v>171</v>
      </c>
      <c r="B21" s="22" t="s">
        <v>242</v>
      </c>
      <c r="C21" s="22" t="s">
        <v>173</v>
      </c>
      <c r="D21" s="22" t="n">
        <v>2</v>
      </c>
      <c r="E21" s="23" t="s">
        <v>21</v>
      </c>
      <c r="F21" s="0" t="s">
        <v>405</v>
      </c>
    </row>
    <row r="22" customFormat="false" ht="13.8" hidden="false" customHeight="false" outlineLevel="0" collapsed="false">
      <c r="A22" s="22" t="s">
        <v>171</v>
      </c>
      <c r="B22" s="22" t="s">
        <v>243</v>
      </c>
      <c r="C22" s="22" t="s">
        <v>173</v>
      </c>
      <c r="D22" s="22" t="n">
        <v>2</v>
      </c>
      <c r="E22" s="23" t="s">
        <v>189</v>
      </c>
      <c r="F22" s="0" t="s">
        <v>406</v>
      </c>
    </row>
    <row r="23" customFormat="false" ht="13.8" hidden="false" customHeight="false" outlineLevel="0" collapsed="false">
      <c r="A23" s="22" t="s">
        <v>171</v>
      </c>
      <c r="B23" s="22" t="s">
        <v>245</v>
      </c>
      <c r="C23" s="22" t="s">
        <v>173</v>
      </c>
      <c r="D23" s="22" t="n">
        <v>2</v>
      </c>
      <c r="E23" s="23" t="s">
        <v>184</v>
      </c>
      <c r="F23" s="0" t="s">
        <v>405</v>
      </c>
    </row>
    <row r="24" customFormat="false" ht="13.8" hidden="false" customHeight="false" outlineLevel="0" collapsed="false">
      <c r="A24" s="22" t="s">
        <v>171</v>
      </c>
      <c r="B24" s="22" t="s">
        <v>252</v>
      </c>
      <c r="C24" s="22" t="s">
        <v>173</v>
      </c>
      <c r="D24" s="22" t="n">
        <v>2</v>
      </c>
      <c r="E24" s="23" t="s">
        <v>21</v>
      </c>
      <c r="F24" s="0" t="s">
        <v>405</v>
      </c>
    </row>
    <row r="25" customFormat="false" ht="13.8" hidden="false" customHeight="false" outlineLevel="0" collapsed="false">
      <c r="A25" s="30" t="s">
        <v>171</v>
      </c>
      <c r="B25" s="30" t="s">
        <v>253</v>
      </c>
      <c r="C25" s="30" t="s">
        <v>173</v>
      </c>
      <c r="D25" s="30" t="n">
        <v>2</v>
      </c>
      <c r="E25" s="31" t="s">
        <v>182</v>
      </c>
      <c r="F25" s="0" t="s">
        <v>406</v>
      </c>
    </row>
    <row r="26" customFormat="false" ht="13.8" hidden="false" customHeight="false" outlineLevel="0" collapsed="false">
      <c r="A26" s="44" t="s">
        <v>254</v>
      </c>
      <c r="B26" s="44" t="s">
        <v>261</v>
      </c>
      <c r="C26" s="44" t="s">
        <v>173</v>
      </c>
      <c r="D26" s="44" t="n">
        <v>2</v>
      </c>
      <c r="E26" s="45" t="s">
        <v>184</v>
      </c>
      <c r="F26" s="46" t="s">
        <v>405</v>
      </c>
      <c r="G26" s="16"/>
    </row>
    <row r="27" customFormat="false" ht="13.8" hidden="false" customHeight="false" outlineLevel="0" collapsed="false">
      <c r="A27" s="22" t="s">
        <v>254</v>
      </c>
      <c r="B27" s="22" t="s">
        <v>262</v>
      </c>
      <c r="C27" s="22" t="s">
        <v>173</v>
      </c>
      <c r="D27" s="22" t="n">
        <v>2</v>
      </c>
      <c r="E27" s="23" t="s">
        <v>21</v>
      </c>
      <c r="F27" s="0" t="s">
        <v>407</v>
      </c>
    </row>
    <row r="28" customFormat="false" ht="13.8" hidden="false" customHeight="false" outlineLevel="0" collapsed="false">
      <c r="A28" s="22" t="s">
        <v>254</v>
      </c>
      <c r="B28" s="22" t="s">
        <v>264</v>
      </c>
      <c r="C28" s="22" t="s">
        <v>173</v>
      </c>
      <c r="D28" s="22" t="n">
        <v>2</v>
      </c>
      <c r="E28" s="23" t="s">
        <v>182</v>
      </c>
      <c r="F28" s="0" t="s">
        <v>407</v>
      </c>
    </row>
    <row r="29" customFormat="false" ht="13.8" hidden="false" customHeight="false" outlineLevel="0" collapsed="false">
      <c r="A29" s="22" t="s">
        <v>254</v>
      </c>
      <c r="B29" s="22" t="s">
        <v>268</v>
      </c>
      <c r="C29" s="22" t="s">
        <v>173</v>
      </c>
      <c r="D29" s="22" t="n">
        <v>2</v>
      </c>
      <c r="E29" s="23" t="s">
        <v>189</v>
      </c>
      <c r="F29" s="0" t="s">
        <v>408</v>
      </c>
    </row>
    <row r="30" customFormat="false" ht="13.8" hidden="false" customHeight="false" outlineLevel="0" collapsed="false">
      <c r="A30" s="22" t="s">
        <v>254</v>
      </c>
      <c r="B30" s="22" t="s">
        <v>270</v>
      </c>
      <c r="C30" s="22" t="s">
        <v>173</v>
      </c>
      <c r="D30" s="22" t="n">
        <v>2</v>
      </c>
      <c r="E30" s="23" t="s">
        <v>189</v>
      </c>
      <c r="F30" s="0" t="s">
        <v>407</v>
      </c>
    </row>
    <row r="31" customFormat="false" ht="13.8" hidden="false" customHeight="false" outlineLevel="0" collapsed="false">
      <c r="A31" s="22" t="s">
        <v>254</v>
      </c>
      <c r="B31" s="22" t="s">
        <v>271</v>
      </c>
      <c r="C31" s="22" t="s">
        <v>173</v>
      </c>
      <c r="D31" s="22" t="n">
        <v>2</v>
      </c>
      <c r="E31" s="23" t="s">
        <v>189</v>
      </c>
      <c r="F31" s="0" t="s">
        <v>407</v>
      </c>
    </row>
    <row r="32" customFormat="false" ht="13.8" hidden="false" customHeight="false" outlineLevel="0" collapsed="false">
      <c r="A32" s="22" t="s">
        <v>254</v>
      </c>
      <c r="B32" s="22" t="s">
        <v>273</v>
      </c>
      <c r="C32" s="22" t="s">
        <v>173</v>
      </c>
      <c r="D32" s="22" t="n">
        <v>2</v>
      </c>
      <c r="E32" s="23" t="s">
        <v>189</v>
      </c>
      <c r="F32" s="0" t="s">
        <v>407</v>
      </c>
    </row>
    <row r="33" customFormat="false" ht="13.8" hidden="false" customHeight="false" outlineLevel="0" collapsed="false">
      <c r="A33" s="22" t="s">
        <v>254</v>
      </c>
      <c r="B33" s="22" t="s">
        <v>274</v>
      </c>
      <c r="C33" s="22" t="s">
        <v>173</v>
      </c>
      <c r="D33" s="22" t="n">
        <v>2</v>
      </c>
      <c r="E33" s="23" t="s">
        <v>184</v>
      </c>
      <c r="F33" s="0" t="s">
        <v>408</v>
      </c>
    </row>
    <row r="34" customFormat="false" ht="13.8" hidden="false" customHeight="false" outlineLevel="0" collapsed="false">
      <c r="A34" s="22" t="s">
        <v>254</v>
      </c>
      <c r="B34" s="22" t="s">
        <v>277</v>
      </c>
      <c r="C34" s="22" t="s">
        <v>173</v>
      </c>
      <c r="D34" s="22" t="n">
        <v>2</v>
      </c>
      <c r="E34" s="23" t="s">
        <v>184</v>
      </c>
      <c r="F34" s="0" t="s">
        <v>405</v>
      </c>
    </row>
    <row r="35" customFormat="false" ht="13.8" hidden="false" customHeight="false" outlineLevel="0" collapsed="false">
      <c r="A35" s="22" t="s">
        <v>254</v>
      </c>
      <c r="B35" s="22" t="s">
        <v>278</v>
      </c>
      <c r="C35" s="22" t="s">
        <v>173</v>
      </c>
      <c r="D35" s="22" t="n">
        <v>2</v>
      </c>
      <c r="E35" s="23" t="s">
        <v>184</v>
      </c>
      <c r="F35" s="0" t="s">
        <v>405</v>
      </c>
    </row>
    <row r="36" customFormat="false" ht="13.8" hidden="false" customHeight="false" outlineLevel="0" collapsed="false">
      <c r="A36" s="22" t="s">
        <v>254</v>
      </c>
      <c r="B36" s="22" t="s">
        <v>279</v>
      </c>
      <c r="C36" s="22" t="s">
        <v>173</v>
      </c>
      <c r="D36" s="22" t="n">
        <v>2</v>
      </c>
      <c r="E36" s="23" t="s">
        <v>21</v>
      </c>
      <c r="F36" s="0" t="s">
        <v>408</v>
      </c>
    </row>
    <row r="37" customFormat="false" ht="13.8" hidden="false" customHeight="false" outlineLevel="0" collapsed="false">
      <c r="A37" s="22" t="s">
        <v>254</v>
      </c>
      <c r="B37" s="22" t="s">
        <v>280</v>
      </c>
      <c r="C37" s="22" t="s">
        <v>173</v>
      </c>
      <c r="D37" s="22" t="n">
        <v>2</v>
      </c>
      <c r="E37" s="23" t="s">
        <v>189</v>
      </c>
      <c r="F37" s="0" t="s">
        <v>407</v>
      </c>
    </row>
    <row r="38" customFormat="false" ht="13.8" hidden="false" customHeight="false" outlineLevel="0" collapsed="false">
      <c r="A38" s="22" t="s">
        <v>254</v>
      </c>
      <c r="B38" s="22" t="s">
        <v>281</v>
      </c>
      <c r="C38" s="22" t="s">
        <v>173</v>
      </c>
      <c r="D38" s="22" t="n">
        <v>2</v>
      </c>
      <c r="E38" s="23" t="s">
        <v>21</v>
      </c>
      <c r="F38" s="0" t="s">
        <v>406</v>
      </c>
    </row>
    <row r="39" customFormat="false" ht="13.8" hidden="false" customHeight="false" outlineLevel="0" collapsed="false">
      <c r="A39" s="22" t="s">
        <v>254</v>
      </c>
      <c r="B39" s="22" t="s">
        <v>282</v>
      </c>
      <c r="C39" s="22" t="s">
        <v>173</v>
      </c>
      <c r="D39" s="22" t="n">
        <v>2</v>
      </c>
      <c r="E39" s="23" t="s">
        <v>21</v>
      </c>
      <c r="F39" s="0" t="s">
        <v>407</v>
      </c>
    </row>
    <row r="40" customFormat="false" ht="13.8" hidden="false" customHeight="false" outlineLevel="0" collapsed="false">
      <c r="A40" s="22" t="s">
        <v>254</v>
      </c>
      <c r="B40" s="22" t="s">
        <v>285</v>
      </c>
      <c r="C40" s="22" t="s">
        <v>173</v>
      </c>
      <c r="D40" s="22" t="n">
        <v>2</v>
      </c>
      <c r="E40" s="23" t="s">
        <v>184</v>
      </c>
      <c r="F40" s="0" t="s">
        <v>405</v>
      </c>
    </row>
    <row r="41" customFormat="false" ht="13.8" hidden="false" customHeight="false" outlineLevel="0" collapsed="false">
      <c r="A41" s="22" t="s">
        <v>254</v>
      </c>
      <c r="B41" s="22" t="s">
        <v>290</v>
      </c>
      <c r="C41" s="22" t="s">
        <v>173</v>
      </c>
      <c r="D41" s="22" t="n">
        <v>2</v>
      </c>
      <c r="E41" s="23" t="s">
        <v>189</v>
      </c>
      <c r="F41" s="0" t="s">
        <v>406</v>
      </c>
    </row>
    <row r="42" customFormat="false" ht="13.8" hidden="false" customHeight="false" outlineLevel="0" collapsed="false">
      <c r="A42" s="22" t="s">
        <v>254</v>
      </c>
      <c r="B42" s="22" t="s">
        <v>291</v>
      </c>
      <c r="C42" s="22" t="s">
        <v>173</v>
      </c>
      <c r="D42" s="22" t="n">
        <v>2</v>
      </c>
      <c r="E42" s="23" t="s">
        <v>184</v>
      </c>
      <c r="F42" s="0" t="s">
        <v>405</v>
      </c>
    </row>
    <row r="43" customFormat="false" ht="13.8" hidden="false" customHeight="false" outlineLevel="0" collapsed="false">
      <c r="A43" s="44" t="s">
        <v>294</v>
      </c>
      <c r="B43" s="44" t="s">
        <v>295</v>
      </c>
      <c r="C43" s="44" t="s">
        <v>173</v>
      </c>
      <c r="D43" s="44" t="n">
        <v>2</v>
      </c>
      <c r="E43" s="45" t="s">
        <v>184</v>
      </c>
      <c r="F43" s="47" t="s">
        <v>406</v>
      </c>
      <c r="G43" s="16"/>
    </row>
    <row r="44" customFormat="false" ht="13.8" hidden="false" customHeight="false" outlineLevel="0" collapsed="false">
      <c r="A44" s="22" t="s">
        <v>294</v>
      </c>
      <c r="B44" s="22" t="s">
        <v>304</v>
      </c>
      <c r="C44" s="22" t="s">
        <v>173</v>
      </c>
      <c r="D44" s="22" t="n">
        <v>2</v>
      </c>
      <c r="E44" s="23" t="s">
        <v>184</v>
      </c>
      <c r="F44" s="0" t="s">
        <v>407</v>
      </c>
    </row>
    <row r="45" customFormat="false" ht="13.8" hidden="false" customHeight="false" outlineLevel="0" collapsed="false">
      <c r="A45" s="22" t="s">
        <v>294</v>
      </c>
      <c r="B45" s="22" t="s">
        <v>306</v>
      </c>
      <c r="C45" s="22" t="s">
        <v>173</v>
      </c>
      <c r="D45" s="22" t="n">
        <v>2</v>
      </c>
      <c r="E45" s="23" t="s">
        <v>174</v>
      </c>
      <c r="F45" s="0" t="s">
        <v>405</v>
      </c>
    </row>
    <row r="46" customFormat="false" ht="13.8" hidden="false" customHeight="false" outlineLevel="0" collapsed="false">
      <c r="A46" s="22" t="s">
        <v>294</v>
      </c>
      <c r="B46" s="22" t="s">
        <v>308</v>
      </c>
      <c r="C46" s="22" t="s">
        <v>173</v>
      </c>
      <c r="D46" s="22" t="n">
        <v>2</v>
      </c>
      <c r="E46" s="23" t="s">
        <v>186</v>
      </c>
      <c r="F46" s="0" t="s">
        <v>406</v>
      </c>
    </row>
    <row r="47" customFormat="false" ht="13.8" hidden="false" customHeight="false" outlineLevel="0" collapsed="false">
      <c r="A47" s="22" t="s">
        <v>294</v>
      </c>
      <c r="B47" s="22" t="s">
        <v>310</v>
      </c>
      <c r="C47" s="22" t="s">
        <v>173</v>
      </c>
      <c r="D47" s="22" t="n">
        <v>2</v>
      </c>
      <c r="E47" s="23" t="s">
        <v>184</v>
      </c>
      <c r="F47" s="0" t="s">
        <v>405</v>
      </c>
    </row>
    <row r="48" customFormat="false" ht="13.8" hidden="false" customHeight="false" outlineLevel="0" collapsed="false">
      <c r="A48" s="22" t="s">
        <v>294</v>
      </c>
      <c r="B48" s="22" t="s">
        <v>316</v>
      </c>
      <c r="C48" s="22" t="s">
        <v>173</v>
      </c>
      <c r="D48" s="22" t="n">
        <v>2</v>
      </c>
      <c r="E48" s="23" t="s">
        <v>184</v>
      </c>
      <c r="F48" s="0" t="s">
        <v>406</v>
      </c>
    </row>
    <row r="49" customFormat="false" ht="13.8" hidden="false" customHeight="false" outlineLevel="0" collapsed="false">
      <c r="A49" s="22" t="s">
        <v>294</v>
      </c>
      <c r="B49" s="22" t="s">
        <v>317</v>
      </c>
      <c r="C49" s="22" t="s">
        <v>173</v>
      </c>
      <c r="D49" s="22" t="n">
        <v>2</v>
      </c>
      <c r="E49" s="23" t="s">
        <v>21</v>
      </c>
      <c r="F49" s="0" t="s">
        <v>405</v>
      </c>
    </row>
    <row r="50" customFormat="false" ht="13.8" hidden="false" customHeight="false" outlineLevel="0" collapsed="false">
      <c r="A50" s="22" t="s">
        <v>294</v>
      </c>
      <c r="B50" s="22" t="s">
        <v>322</v>
      </c>
      <c r="C50" s="22" t="s">
        <v>173</v>
      </c>
      <c r="D50" s="22" t="n">
        <v>2</v>
      </c>
      <c r="E50" s="23" t="s">
        <v>182</v>
      </c>
      <c r="F50" s="0" t="s">
        <v>407</v>
      </c>
    </row>
    <row r="51" customFormat="false" ht="13.8" hidden="false" customHeight="false" outlineLevel="0" collapsed="false">
      <c r="A51" s="22" t="s">
        <v>294</v>
      </c>
      <c r="B51" s="22" t="s">
        <v>323</v>
      </c>
      <c r="C51" s="22" t="s">
        <v>173</v>
      </c>
      <c r="D51" s="22" t="n">
        <v>2</v>
      </c>
      <c r="E51" s="23" t="s">
        <v>184</v>
      </c>
      <c r="F51" s="0" t="s">
        <v>405</v>
      </c>
    </row>
    <row r="52" customFormat="false" ht="13.8" hidden="false" customHeight="false" outlineLevel="0" collapsed="false">
      <c r="A52" s="22" t="s">
        <v>294</v>
      </c>
      <c r="B52" s="22" t="s">
        <v>324</v>
      </c>
      <c r="C52" s="22" t="s">
        <v>173</v>
      </c>
      <c r="D52" s="22" t="n">
        <v>2</v>
      </c>
      <c r="E52" s="23" t="s">
        <v>182</v>
      </c>
      <c r="F52" s="0" t="s">
        <v>407</v>
      </c>
    </row>
    <row r="53" customFormat="false" ht="13.8" hidden="false" customHeight="false" outlineLevel="0" collapsed="false">
      <c r="A53" s="22" t="s">
        <v>294</v>
      </c>
      <c r="B53" s="22" t="s">
        <v>325</v>
      </c>
      <c r="C53" s="22" t="s">
        <v>173</v>
      </c>
      <c r="D53" s="22" t="n">
        <v>2</v>
      </c>
      <c r="E53" s="23" t="s">
        <v>182</v>
      </c>
      <c r="F53" s="0" t="s">
        <v>405</v>
      </c>
    </row>
    <row r="54" customFormat="false" ht="13.8" hidden="false" customHeight="false" outlineLevel="0" collapsed="false">
      <c r="A54" s="22" t="s">
        <v>294</v>
      </c>
      <c r="B54" s="22" t="s">
        <v>327</v>
      </c>
      <c r="C54" s="22" t="s">
        <v>173</v>
      </c>
      <c r="D54" s="22" t="n">
        <v>2</v>
      </c>
      <c r="E54" s="23" t="s">
        <v>182</v>
      </c>
      <c r="F54" s="0" t="s">
        <v>406</v>
      </c>
    </row>
    <row r="55" customFormat="false" ht="13.8" hidden="false" customHeight="false" outlineLevel="0" collapsed="false">
      <c r="A55" s="22" t="s">
        <v>294</v>
      </c>
      <c r="B55" s="22" t="s">
        <v>329</v>
      </c>
      <c r="C55" s="22" t="s">
        <v>173</v>
      </c>
      <c r="D55" s="22" t="n">
        <v>2</v>
      </c>
      <c r="E55" s="23" t="s">
        <v>184</v>
      </c>
      <c r="F55" s="0" t="s">
        <v>405</v>
      </c>
    </row>
    <row r="56" customFormat="false" ht="13.8" hidden="false" customHeight="false" outlineLevel="0" collapsed="false">
      <c r="A56" s="22" t="s">
        <v>294</v>
      </c>
      <c r="B56" s="22" t="s">
        <v>333</v>
      </c>
      <c r="C56" s="22" t="s">
        <v>173</v>
      </c>
      <c r="D56" s="22" t="n">
        <v>2</v>
      </c>
      <c r="E56" s="23" t="s">
        <v>184</v>
      </c>
      <c r="F56" s="0" t="s">
        <v>405</v>
      </c>
    </row>
    <row r="57" customFormat="false" ht="13.8" hidden="false" customHeight="false" outlineLevel="0" collapsed="false">
      <c r="A57" s="22" t="s">
        <v>294</v>
      </c>
      <c r="B57" s="22" t="s">
        <v>334</v>
      </c>
      <c r="C57" s="22" t="s">
        <v>173</v>
      </c>
      <c r="D57" s="22" t="n">
        <v>2</v>
      </c>
      <c r="E57" s="23" t="s">
        <v>21</v>
      </c>
      <c r="F57" s="0" t="s">
        <v>407</v>
      </c>
    </row>
    <row r="58" customFormat="false" ht="13.8" hidden="false" customHeight="false" outlineLevel="0" collapsed="false">
      <c r="A58" s="22" t="s">
        <v>294</v>
      </c>
      <c r="B58" s="22" t="s">
        <v>336</v>
      </c>
      <c r="C58" s="22" t="s">
        <v>173</v>
      </c>
      <c r="D58" s="22" t="n">
        <v>2</v>
      </c>
      <c r="E58" s="23" t="s">
        <v>174</v>
      </c>
      <c r="F58" s="0" t="s">
        <v>405</v>
      </c>
    </row>
    <row r="59" customFormat="false" ht="13.8" hidden="false" customHeight="false" outlineLevel="0" collapsed="false">
      <c r="A59" s="22" t="s">
        <v>294</v>
      </c>
      <c r="B59" s="22" t="s">
        <v>338</v>
      </c>
      <c r="C59" s="22" t="s">
        <v>173</v>
      </c>
      <c r="D59" s="22" t="n">
        <v>2</v>
      </c>
      <c r="E59" s="23" t="s">
        <v>184</v>
      </c>
      <c r="F59" s="0" t="s">
        <v>405</v>
      </c>
    </row>
    <row r="60" customFormat="false" ht="13.8" hidden="false" customHeight="false" outlineLevel="0" collapsed="false">
      <c r="A60" s="22" t="s">
        <v>294</v>
      </c>
      <c r="B60" s="22" t="s">
        <v>343</v>
      </c>
      <c r="C60" s="22" t="s">
        <v>173</v>
      </c>
      <c r="D60" s="22" t="n">
        <v>2</v>
      </c>
      <c r="E60" s="23" t="s">
        <v>21</v>
      </c>
      <c r="F60" s="0" t="s">
        <v>407</v>
      </c>
    </row>
    <row r="61" customFormat="false" ht="13.8" hidden="false" customHeight="false" outlineLevel="0" collapsed="false">
      <c r="A61" s="22" t="s">
        <v>294</v>
      </c>
      <c r="B61" s="22" t="s">
        <v>345</v>
      </c>
      <c r="C61" s="22" t="s">
        <v>173</v>
      </c>
      <c r="D61" s="22" t="n">
        <v>2</v>
      </c>
      <c r="E61" s="23" t="s">
        <v>182</v>
      </c>
      <c r="F61" s="0" t="s">
        <v>405</v>
      </c>
    </row>
    <row r="62" customFormat="false" ht="13.8" hidden="false" customHeight="false" outlineLevel="0" collapsed="false">
      <c r="A62" s="22" t="s">
        <v>294</v>
      </c>
      <c r="B62" s="22" t="s">
        <v>347</v>
      </c>
      <c r="C62" s="22" t="s">
        <v>173</v>
      </c>
      <c r="D62" s="22" t="n">
        <v>2</v>
      </c>
      <c r="E62" s="23" t="s">
        <v>21</v>
      </c>
      <c r="F62" s="0" t="s">
        <v>407</v>
      </c>
    </row>
    <row r="63" customFormat="false" ht="13.8" hidden="false" customHeight="false" outlineLevel="0" collapsed="false">
      <c r="A63" s="22" t="s">
        <v>294</v>
      </c>
      <c r="B63" s="22" t="s">
        <v>348</v>
      </c>
      <c r="C63" s="22" t="s">
        <v>173</v>
      </c>
      <c r="D63" s="22" t="n">
        <v>2</v>
      </c>
      <c r="E63" s="23" t="s">
        <v>184</v>
      </c>
      <c r="F63" s="0" t="s">
        <v>406</v>
      </c>
    </row>
    <row r="64" customFormat="false" ht="13.8" hidden="false" customHeight="false" outlineLevel="0" collapsed="false">
      <c r="A64" s="22" t="s">
        <v>294</v>
      </c>
      <c r="B64" s="22" t="s">
        <v>351</v>
      </c>
      <c r="C64" s="22" t="s">
        <v>173</v>
      </c>
      <c r="D64" s="22" t="n">
        <v>2</v>
      </c>
      <c r="E64" s="23" t="s">
        <v>21</v>
      </c>
      <c r="F64" s="0" t="s">
        <v>407</v>
      </c>
    </row>
    <row r="65" customFormat="false" ht="13.8" hidden="false" customHeight="false" outlineLevel="0" collapsed="false">
      <c r="A65" s="22" t="s">
        <v>294</v>
      </c>
      <c r="B65" s="22" t="s">
        <v>352</v>
      </c>
      <c r="C65" s="22" t="s">
        <v>173</v>
      </c>
      <c r="D65" s="22" t="n">
        <v>2</v>
      </c>
      <c r="E65" s="23" t="s">
        <v>174</v>
      </c>
      <c r="F65" s="0" t="s">
        <v>406</v>
      </c>
    </row>
    <row r="66" customFormat="false" ht="13.8" hidden="false" customHeight="false" outlineLevel="0" collapsed="false">
      <c r="A66" s="22" t="s">
        <v>294</v>
      </c>
      <c r="B66" s="22" t="s">
        <v>356</v>
      </c>
      <c r="C66" s="22" t="s">
        <v>173</v>
      </c>
      <c r="D66" s="22" t="n">
        <v>2</v>
      </c>
      <c r="E66" s="23" t="s">
        <v>184</v>
      </c>
      <c r="F66" s="0" t="s">
        <v>406</v>
      </c>
    </row>
    <row r="67" customFormat="false" ht="13.8" hidden="false" customHeight="false" outlineLevel="0" collapsed="false">
      <c r="A67" s="22" t="s">
        <v>294</v>
      </c>
      <c r="B67" s="22" t="s">
        <v>357</v>
      </c>
      <c r="C67" s="22" t="s">
        <v>173</v>
      </c>
      <c r="D67" s="22" t="n">
        <v>2</v>
      </c>
      <c r="E67" s="23" t="s">
        <v>21</v>
      </c>
      <c r="F67" s="0" t="s">
        <v>407</v>
      </c>
    </row>
    <row r="68" customFormat="false" ht="13.8" hidden="false" customHeight="false" outlineLevel="0" collapsed="false">
      <c r="A68" s="22" t="s">
        <v>294</v>
      </c>
      <c r="B68" s="22" t="s">
        <v>358</v>
      </c>
      <c r="C68" s="22" t="s">
        <v>173</v>
      </c>
      <c r="D68" s="22" t="n">
        <v>2</v>
      </c>
      <c r="E68" s="23" t="s">
        <v>182</v>
      </c>
      <c r="F68" s="0" t="s">
        <v>406</v>
      </c>
    </row>
    <row r="69" customFormat="false" ht="13.8" hidden="false" customHeight="false" outlineLevel="0" collapsed="false">
      <c r="A69" s="22" t="s">
        <v>294</v>
      </c>
      <c r="B69" s="22" t="s">
        <v>359</v>
      </c>
      <c r="C69" s="22" t="s">
        <v>173</v>
      </c>
      <c r="D69" s="22" t="n">
        <v>2</v>
      </c>
      <c r="E69" s="23" t="s">
        <v>184</v>
      </c>
      <c r="F69" s="0" t="s">
        <v>406</v>
      </c>
    </row>
    <row r="70" customFormat="false" ht="13.8" hidden="false" customHeight="false" outlineLevel="0" collapsed="false">
      <c r="A70" s="22" t="s">
        <v>294</v>
      </c>
      <c r="B70" s="22" t="s">
        <v>360</v>
      </c>
      <c r="C70" s="22" t="s">
        <v>173</v>
      </c>
      <c r="D70" s="22" t="n">
        <v>2</v>
      </c>
      <c r="E70" s="23" t="s">
        <v>182</v>
      </c>
      <c r="F70" s="0" t="s">
        <v>406</v>
      </c>
    </row>
    <row r="71" customFormat="false" ht="13.8" hidden="false" customHeight="false" outlineLevel="0" collapsed="false">
      <c r="A71" s="22" t="s">
        <v>294</v>
      </c>
      <c r="B71" s="22" t="s">
        <v>361</v>
      </c>
      <c r="C71" s="22" t="s">
        <v>173</v>
      </c>
      <c r="D71" s="22" t="n">
        <v>2</v>
      </c>
      <c r="E71" s="23" t="s">
        <v>189</v>
      </c>
      <c r="F71" s="0" t="s">
        <v>407</v>
      </c>
    </row>
    <row r="72" customFormat="false" ht="13.8" hidden="false" customHeight="false" outlineLevel="0" collapsed="false">
      <c r="A72" s="22" t="s">
        <v>294</v>
      </c>
      <c r="B72" s="22" t="s">
        <v>371</v>
      </c>
      <c r="C72" s="22" t="s">
        <v>173</v>
      </c>
      <c r="D72" s="22" t="n">
        <v>2</v>
      </c>
      <c r="E72" s="23" t="s">
        <v>189</v>
      </c>
      <c r="F72" s="0" t="s">
        <v>406</v>
      </c>
    </row>
    <row r="73" customFormat="false" ht="13.8" hidden="false" customHeight="false" outlineLevel="0" collapsed="false">
      <c r="A73" s="22" t="s">
        <v>294</v>
      </c>
      <c r="B73" s="22" t="s">
        <v>378</v>
      </c>
      <c r="C73" s="22" t="s">
        <v>173</v>
      </c>
      <c r="D73" s="22" t="n">
        <v>2</v>
      </c>
      <c r="E73" s="23" t="s">
        <v>184</v>
      </c>
      <c r="F73" s="0" t="s">
        <v>405</v>
      </c>
    </row>
    <row r="74" customFormat="false" ht="13.8" hidden="false" customHeight="false" outlineLevel="0" collapsed="false">
      <c r="A74" s="22" t="s">
        <v>294</v>
      </c>
      <c r="B74" s="22" t="s">
        <v>379</v>
      </c>
      <c r="C74" s="22" t="s">
        <v>173</v>
      </c>
      <c r="D74" s="22" t="n">
        <v>2</v>
      </c>
      <c r="E74" s="23" t="s">
        <v>21</v>
      </c>
      <c r="F74" s="0" t="s">
        <v>407</v>
      </c>
    </row>
    <row r="75" customFormat="false" ht="13.8" hidden="false" customHeight="false" outlineLevel="0" collapsed="false">
      <c r="A75" s="22" t="s">
        <v>294</v>
      </c>
      <c r="B75" s="22" t="s">
        <v>380</v>
      </c>
      <c r="C75" s="22" t="s">
        <v>173</v>
      </c>
      <c r="D75" s="22" t="n">
        <v>2</v>
      </c>
      <c r="E75" s="23" t="s">
        <v>184</v>
      </c>
      <c r="F75" s="0" t="s">
        <v>405</v>
      </c>
    </row>
    <row r="76" customFormat="false" ht="13.8" hidden="false" customHeight="false" outlineLevel="0" collapsed="false">
      <c r="A76" s="22" t="s">
        <v>294</v>
      </c>
      <c r="B76" s="22" t="s">
        <v>385</v>
      </c>
      <c r="C76" s="22" t="s">
        <v>173</v>
      </c>
      <c r="D76" s="22" t="n">
        <v>2</v>
      </c>
      <c r="E76" s="23" t="s">
        <v>184</v>
      </c>
      <c r="F76" s="0" t="s">
        <v>406</v>
      </c>
    </row>
    <row r="77" customFormat="false" ht="13.8" hidden="false" customHeight="false" outlineLevel="0" collapsed="false">
      <c r="A77" s="22" t="s">
        <v>294</v>
      </c>
      <c r="B77" s="22" t="s">
        <v>388</v>
      </c>
      <c r="C77" s="22" t="s">
        <v>173</v>
      </c>
      <c r="D77" s="22" t="n">
        <v>2</v>
      </c>
      <c r="E77" s="23" t="s">
        <v>184</v>
      </c>
      <c r="F77" s="0" t="s">
        <v>405</v>
      </c>
    </row>
    <row r="78" customFormat="false" ht="13.8" hidden="false" customHeight="false" outlineLevel="0" collapsed="false">
      <c r="A78" s="22" t="s">
        <v>294</v>
      </c>
      <c r="B78" s="22" t="s">
        <v>390</v>
      </c>
      <c r="C78" s="22" t="s">
        <v>173</v>
      </c>
      <c r="D78" s="22" t="n">
        <v>2</v>
      </c>
      <c r="E78" s="23" t="s">
        <v>184</v>
      </c>
      <c r="F78" s="0" t="s">
        <v>405</v>
      </c>
    </row>
    <row r="79" customFormat="false" ht="13.8" hidden="false" customHeight="false" outlineLevel="0" collapsed="false">
      <c r="A79" s="22" t="s">
        <v>294</v>
      </c>
      <c r="B79" s="22" t="s">
        <v>394</v>
      </c>
      <c r="C79" s="22" t="s">
        <v>173</v>
      </c>
      <c r="D79" s="22" t="n">
        <v>2</v>
      </c>
      <c r="E79" s="23" t="s">
        <v>21</v>
      </c>
      <c r="F79" s="0" t="s">
        <v>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2026-07-09T08:18:55Z</dcterms:created>
  <dc:creator>openpyxl</dc:creator>
  <dc:description/>
  <dc:language>en-US</dc:language>
  <cp:lastModifiedBy/>
  <dcterms:modified xsi:type="dcterms:W3CDTF">2026-07-09T22:11:33Z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